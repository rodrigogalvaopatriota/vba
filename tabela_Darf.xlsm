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tr642633\Documents\rodrigo\atividades\desenvolvimento\darf cnab\"/>
    </mc:Choice>
  </mc:AlternateContent>
  <bookViews>
    <workbookView xWindow="0" yWindow="0" windowWidth="20490" windowHeight="9045"/>
  </bookViews>
  <sheets>
    <sheet name="modelo" sheetId="3" r:id="rId1"/>
    <sheet name="base" sheetId="2" r:id="rId2"/>
    <sheet name="Plan1" sheetId="6" r:id="rId3"/>
    <sheet name="modelo2" sheetId="5" state="hidden" r:id="rId4"/>
    <sheet name="mapa cnab" sheetId="4" state="hidden" r:id="rId5"/>
    <sheet name="Planilha2" sheetId="1" r:id="rId6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3" i="4" l="1"/>
  <c r="Q2" i="4"/>
</calcChain>
</file>

<file path=xl/sharedStrings.xml><?xml version="1.0" encoding="utf-8"?>
<sst xmlns="http://schemas.openxmlformats.org/spreadsheetml/2006/main" count="579" uniqueCount="139">
  <si>
    <t xml:space="preserve">Para tipo de período igual a "Decendial", deverá ser informado o decêndio correspondente, no formato DMMAAAA, </t>
  </si>
  <si>
    <t xml:space="preserve">onde D é igual ao número do decêndio (1, 2 ou 3), MM é igual ao número do mês com dois algarismos(01 a 12) </t>
  </si>
  <si>
    <t>e AAAA é igual ao ano com quatro algarismos.</t>
  </si>
  <si>
    <t>Nome</t>
  </si>
  <si>
    <t>Telefone</t>
  </si>
  <si>
    <t>Observação</t>
  </si>
  <si>
    <t>Período de Apuração</t>
  </si>
  <si>
    <t>CPF/CNPJ</t>
  </si>
  <si>
    <t>Código Receita</t>
  </si>
  <si>
    <t>Referencia</t>
  </si>
  <si>
    <t>Data de Vencimento</t>
  </si>
  <si>
    <t>Valor do Principal</t>
  </si>
  <si>
    <t>Valor da Multa</t>
  </si>
  <si>
    <t>Valor dos Juros</t>
  </si>
  <si>
    <t>Valor Total</t>
  </si>
  <si>
    <t>Marcelo Matos</t>
  </si>
  <si>
    <t>11 23456</t>
  </si>
  <si>
    <t>Ref. Ao pagamento do servico</t>
  </si>
  <si>
    <t>456.678.890-10</t>
  </si>
  <si>
    <t>Juliano Torres</t>
  </si>
  <si>
    <t>23 344444</t>
  </si>
  <si>
    <t>Ref. Ao pagamento do servico 3</t>
  </si>
  <si>
    <t>444.333.890-10</t>
  </si>
  <si>
    <t>3892.87</t>
  </si>
  <si>
    <t>0</t>
  </si>
  <si>
    <t>3250.68</t>
  </si>
  <si>
    <t>RECEITA</t>
  </si>
  <si>
    <t>EMPRESA</t>
  </si>
  <si>
    <t>INSCRIÇÃO NÚMERO</t>
  </si>
  <si>
    <t>PERÍODO</t>
  </si>
  <si>
    <t>RECEITA BRUTA</t>
  </si>
  <si>
    <t>PERCENTUAL</t>
  </si>
  <si>
    <t>BRANCOS</t>
  </si>
  <si>
    <t>VALOR PRINCIPAL</t>
  </si>
  <si>
    <t>MULTA</t>
  </si>
  <si>
    <t>JUROS/ENCARGOS</t>
  </si>
  <si>
    <t>DATA VENCIMENTO</t>
  </si>
  <si>
    <t>DATA PAGAMENTO</t>
  </si>
  <si>
    <t>CONTRIBUINTE</t>
  </si>
  <si>
    <t>VALOR TOTAL</t>
  </si>
  <si>
    <t>10082020</t>
  </si>
  <si>
    <t>20082020</t>
  </si>
  <si>
    <t>50.68</t>
  </si>
  <si>
    <t>892.87</t>
  </si>
  <si>
    <t>2.87</t>
  </si>
  <si>
    <t>250.68</t>
  </si>
  <si>
    <t>0.68</t>
  </si>
  <si>
    <t xml:space="preserve">        </t>
  </si>
  <si>
    <t>0.13</t>
  </si>
  <si>
    <t>12.45</t>
  </si>
  <si>
    <t>231.56</t>
  </si>
  <si>
    <t>0.22</t>
  </si>
  <si>
    <t>0.21</t>
  </si>
  <si>
    <t>0.34</t>
  </si>
  <si>
    <t>34.33</t>
  </si>
  <si>
    <t>13082020</t>
  </si>
  <si>
    <t>23082020</t>
  </si>
  <si>
    <t>32.50</t>
  </si>
  <si>
    <t>342.56</t>
  </si>
  <si>
    <t>3.98</t>
  </si>
  <si>
    <t xml:space="preserve">BRANCOS                       </t>
  </si>
  <si>
    <t xml:space="preserve">  </t>
  </si>
  <si>
    <t>TOTAL DE CAMPOS</t>
  </si>
  <si>
    <t xml:space="preserve">03                </t>
  </si>
  <si>
    <t xml:space="preserve">   </t>
  </si>
  <si>
    <t xml:space="preserve">            </t>
  </si>
  <si>
    <t xml:space="preserve">0.68         </t>
  </si>
  <si>
    <t xml:space="preserve">3892.87      </t>
  </si>
  <si>
    <t xml:space="preserve">50.68        </t>
  </si>
  <si>
    <t xml:space="preserve">250.68       </t>
  </si>
  <si>
    <t xml:space="preserve">2.87         </t>
  </si>
  <si>
    <t xml:space="preserve">3250.68      </t>
  </si>
  <si>
    <t xml:space="preserve">892.87       </t>
  </si>
  <si>
    <t xml:space="preserve">0            </t>
  </si>
  <si>
    <t xml:space="preserve">12.45        </t>
  </si>
  <si>
    <t xml:space="preserve">0.13         </t>
  </si>
  <si>
    <t xml:space="preserve">231.56       </t>
  </si>
  <si>
    <t xml:space="preserve">0.22         </t>
  </si>
  <si>
    <t xml:space="preserve">0.21         </t>
  </si>
  <si>
    <t xml:space="preserve">0.34         </t>
  </si>
  <si>
    <t xml:space="preserve">34.33        </t>
  </si>
  <si>
    <t xml:space="preserve">3.98         </t>
  </si>
  <si>
    <t xml:space="preserve">32.50        </t>
  </si>
  <si>
    <t xml:space="preserve">342.56       </t>
  </si>
  <si>
    <t xml:space="preserve">Marcelo Matos                </t>
  </si>
  <si>
    <t xml:space="preserve">Juliano Torres               </t>
  </si>
  <si>
    <t xml:space="preserve">                            </t>
  </si>
  <si>
    <t>Tributo</t>
  </si>
  <si>
    <t>Tipo de Inscricao</t>
  </si>
  <si>
    <t>02</t>
  </si>
  <si>
    <t>Receita</t>
  </si>
  <si>
    <t>Tipo de inscricao</t>
  </si>
  <si>
    <t>Empresa - Inscricao</t>
  </si>
  <si>
    <t>Periodo</t>
  </si>
  <si>
    <t>Valor Principal</t>
  </si>
  <si>
    <t>Multa</t>
  </si>
  <si>
    <t>Juros/Encargos</t>
  </si>
  <si>
    <t>Data Vencimento</t>
  </si>
  <si>
    <t>Data Pagamento</t>
  </si>
  <si>
    <t>Brancos</t>
  </si>
  <si>
    <t>Contribuiente</t>
  </si>
  <si>
    <t>REFERENCIA</t>
  </si>
  <si>
    <t xml:space="preserve">123456           </t>
  </si>
  <si>
    <t xml:space="preserve">457777           </t>
  </si>
  <si>
    <t xml:space="preserve">13082020                                      </t>
  </si>
  <si>
    <t xml:space="preserve">23082020                                      </t>
  </si>
  <si>
    <t>1</t>
  </si>
  <si>
    <t>TRIBUTO</t>
  </si>
  <si>
    <t xml:space="preserve">02                 </t>
  </si>
  <si>
    <t xml:space="preserve">          0.68</t>
  </si>
  <si>
    <t xml:space="preserve">       3892.87</t>
  </si>
  <si>
    <t xml:space="preserve">         50.68</t>
  </si>
  <si>
    <t xml:space="preserve">        250.68</t>
  </si>
  <si>
    <t xml:space="preserve">          2.87</t>
  </si>
  <si>
    <t xml:space="preserve">       3250.68</t>
  </si>
  <si>
    <t xml:space="preserve">        892.87</t>
  </si>
  <si>
    <t xml:space="preserve">             0</t>
  </si>
  <si>
    <t xml:space="preserve">         12.45</t>
  </si>
  <si>
    <t xml:space="preserve">          0.13</t>
  </si>
  <si>
    <t xml:space="preserve">        231.56</t>
  </si>
  <si>
    <t xml:space="preserve">          0.22</t>
  </si>
  <si>
    <t xml:space="preserve">          0.21</t>
  </si>
  <si>
    <t xml:space="preserve">          0.34</t>
  </si>
  <si>
    <t xml:space="preserve">         34.33</t>
  </si>
  <si>
    <t xml:space="preserve">          3.98</t>
  </si>
  <si>
    <t xml:space="preserve">         32.50</t>
  </si>
  <si>
    <t xml:space="preserve">        342.56</t>
  </si>
  <si>
    <t xml:space="preserve">Marcelo Matos                               </t>
  </si>
  <si>
    <t xml:space="preserve">Juliano Torres                               </t>
  </si>
  <si>
    <t xml:space="preserve">02                 80531456.678.890-1010082020123456                     0.68             0          0.13       3250.6813082020                                      Marcelo Matos                               </t>
  </si>
  <si>
    <t xml:space="preserve">02                 80531444.333.890-1020082020457777                  3892.87         12.45          0.22          3.9823082020                                      Juliano Torres                               </t>
  </si>
  <si>
    <t xml:space="preserve">02                 80531444.333.890-1010082020123456                    50.68             0             0       3250.6813082020                                      Marcelo Matos                               </t>
  </si>
  <si>
    <t xml:space="preserve">02                 80531444.333.890-1020082020457777                  3892.87          0.13             0       3892.8723082020                                      Juliano Torres                               </t>
  </si>
  <si>
    <t xml:space="preserve">02                 80531444.333.890-1010082020123456                   250.68             0          0.21       3250.6813082020                                      Marcelo Matos                               </t>
  </si>
  <si>
    <t xml:space="preserve">02                 80531456.678.890-1020082020457777                     2.87             0             0       3892.8723082020                                      Juliano Torres                               </t>
  </si>
  <si>
    <t xml:space="preserve">02                 80531456.678.890-1010082020123456                  3250.68        231.56             0       3250.6813082020                                      Marcelo Matos                               </t>
  </si>
  <si>
    <t xml:space="preserve">02                 80531456.678.890-1020082020457777                   892.87             0          0.34       3892.8723082020                                      Juliano Torres                               </t>
  </si>
  <si>
    <t xml:space="preserve">02                 80531456.678.890-1010082020123456                  3250.68             0         34.33         32.5013082020                                      Marcelo Matos                               </t>
  </si>
  <si>
    <t xml:space="preserve">02                 80531456.678.890-1020082020457777                  3892.87             0             0        342.5623082020                                      Juliano Torres                           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</si>
</sst>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&quot;R$&quot;\ #,##0.00;[Red]\-&quot;R$&quot;\ #,##0.00"/>
    <numFmt numFmtId="165" formatCode="_-&quot;R$&quot;\ * #,##0.00_-;\-&quot;R$&quot;\ * #,##0.00_-;_-&quot;R$&quot;\ * &quot;-&quot;??_-;_-@_-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165" fontId="1" fillId="0" borderId="0" applyFont="0" applyFill="0" applyBorder="0" applyAlignment="0" applyProtection="0"/>
  </cellStyleXfs>
  <cellXfs count="12">
    <xf numFmtId="0" fontId="0" fillId="0" borderId="0" xfId="0"/>
    <xf numFmtId="14" fontId="0" fillId="0" borderId="0" xfId="0" applyNumberFormat="1"/>
    <xf numFmtId="165" fontId="0" fillId="0" borderId="0" xfId="1" applyFont="1"/>
    <xf numFmtId="164" fontId="0" fillId="0" borderId="0" xfId="0" applyNumberFormat="1"/>
    <xf numFmtId="49" fontId="0" fillId="0" borderId="0" xfId="0" applyNumberFormat="1"/>
    <xf numFmtId="0" fontId="2" fillId="0" borderId="0" xfId="0" applyFont="1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0" borderId="0" xfId="0" applyFont="1"/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196850</xdr:colOff>
      <xdr:row>1</xdr:row>
      <xdr:rowOff>171536</xdr:rowOff>
    </xdr:from>
    <xdr:to>
      <xdr:col>10</xdr:col>
      <xdr:colOff>901700</xdr:colOff>
      <xdr:row>13</xdr:row>
      <xdr:rowOff>171450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xmlns="" id="{840A89DC-5FDC-4F21-9368-8E738392F76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54450" y="355686"/>
          <a:ext cx="4641850" cy="220971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:N17"/>
  <sheetViews>
    <sheetView tabSelected="1" workbookViewId="0">
      <selection activeCell="Q21" sqref="Q21"/>
    </sheetView>
  </sheetViews>
  <sheetFormatPr defaultRowHeight="15" x14ac:dyDescent="0.25"/>
  <cols>
    <col min="1" max="1" width="8.7109375" customWidth="1"/>
    <col min="2" max="3" width="8.140625" customWidth="1"/>
    <col min="4" max="4" width="10" customWidth="1"/>
    <col min="5" max="5" width="9.5703125" customWidth="1"/>
    <col min="6" max="6" width="11.7109375" customWidth="1"/>
    <col min="7" max="7" width="9.42578125" customWidth="1"/>
    <col min="8" max="8" width="8.42578125" customWidth="1"/>
    <col min="9" max="9" width="15.85546875" customWidth="1"/>
    <col min="10" max="10" width="14.42578125" customWidth="1"/>
    <col min="11" max="11" width="14" customWidth="1"/>
    <col min="12" max="12" width="20.5703125" customWidth="1"/>
    <col min="13" max="13" width="9.140625" customWidth="1"/>
  </cols>
  <sheetData>
    <row r="1" spans="1:14" x14ac:dyDescent="0.25">
      <c r="A1" t="s">
        <v>107</v>
      </c>
      <c r="B1" t="s">
        <v>26</v>
      </c>
      <c r="C1" t="s">
        <v>27</v>
      </c>
      <c r="D1" t="s">
        <v>28</v>
      </c>
      <c r="E1" t="s">
        <v>29</v>
      </c>
      <c r="F1" t="s">
        <v>101</v>
      </c>
      <c r="G1" s="11" t="s">
        <v>33</v>
      </c>
      <c r="H1" s="11" t="s">
        <v>34</v>
      </c>
      <c r="I1" s="11" t="s">
        <v>35</v>
      </c>
      <c r="J1" s="11" t="s">
        <v>39</v>
      </c>
      <c r="K1" t="s">
        <v>36</v>
      </c>
      <c r="L1" s="5" t="s">
        <v>38</v>
      </c>
      <c r="M1" s="5"/>
      <c r="N1" s="5"/>
    </row>
    <row r="2" spans="1:14" x14ac:dyDescent="0.25">
      <c r="A2" s="4" t="s">
        <v>108</v>
      </c>
      <c r="B2">
        <v>8053</v>
      </c>
      <c r="C2" s="4" t="s">
        <v>106</v>
      </c>
      <c r="D2" t="s">
        <v>18</v>
      </c>
      <c r="E2" s="1" t="s">
        <v>40</v>
      </c>
      <c r="F2" t="s">
        <v>102</v>
      </c>
      <c r="G2" t="s">
        <v>109</v>
      </c>
      <c r="H2" t="s">
        <v>116</v>
      </c>
      <c r="I2" t="s">
        <v>118</v>
      </c>
      <c r="J2" t="s">
        <v>114</v>
      </c>
      <c r="K2" s="1" t="s">
        <v>104</v>
      </c>
      <c r="L2" t="s">
        <v>127</v>
      </c>
      <c r="M2" t="s">
        <v>129</v>
      </c>
    </row>
    <row r="3" spans="1:14" x14ac:dyDescent="0.25">
      <c r="A3" s="4" t="s">
        <v>108</v>
      </c>
      <c r="B3">
        <v>8053</v>
      </c>
      <c r="C3" s="4" t="s">
        <v>106</v>
      </c>
      <c r="D3" t="s">
        <v>22</v>
      </c>
      <c r="E3" s="1" t="s">
        <v>41</v>
      </c>
      <c r="F3" t="s">
        <v>103</v>
      </c>
      <c r="G3" t="s">
        <v>110</v>
      </c>
      <c r="H3" t="s">
        <v>117</v>
      </c>
      <c r="I3" t="s">
        <v>120</v>
      </c>
      <c r="J3" t="s">
        <v>124</v>
      </c>
      <c r="K3" s="1" t="s">
        <v>105</v>
      </c>
      <c r="L3" t="s">
        <v>128</v>
      </c>
      <c r="M3" t="s">
        <v>130</v>
      </c>
    </row>
    <row r="4" spans="1:14" x14ac:dyDescent="0.25">
      <c r="A4" s="4" t="s">
        <v>108</v>
      </c>
      <c r="B4">
        <v>8053</v>
      </c>
      <c r="C4" s="4" t="s">
        <v>106</v>
      </c>
      <c r="D4" t="s">
        <v>22</v>
      </c>
      <c r="E4" s="1" t="s">
        <v>40</v>
      </c>
      <c r="F4" t="s">
        <v>102</v>
      </c>
      <c r="G4" t="s">
        <v>111</v>
      </c>
      <c r="H4" t="s">
        <v>116</v>
      </c>
      <c r="I4" t="s">
        <v>116</v>
      </c>
      <c r="J4" t="s">
        <v>114</v>
      </c>
      <c r="K4" s="1" t="s">
        <v>104</v>
      </c>
      <c r="L4" t="s">
        <v>127</v>
      </c>
      <c r="M4" t="s">
        <v>131</v>
      </c>
    </row>
    <row r="5" spans="1:14" x14ac:dyDescent="0.25">
      <c r="A5" s="4" t="s">
        <v>108</v>
      </c>
      <c r="B5">
        <v>8053</v>
      </c>
      <c r="C5" s="4" t="s">
        <v>106</v>
      </c>
      <c r="D5" t="s">
        <v>22</v>
      </c>
      <c r="E5" s="1" t="s">
        <v>41</v>
      </c>
      <c r="F5" t="s">
        <v>103</v>
      </c>
      <c r="G5" t="s">
        <v>110</v>
      </c>
      <c r="H5" t="s">
        <v>118</v>
      </c>
      <c r="I5" t="s">
        <v>116</v>
      </c>
      <c r="J5" t="s">
        <v>110</v>
      </c>
      <c r="K5" s="1" t="s">
        <v>105</v>
      </c>
      <c r="L5" t="s">
        <v>128</v>
      </c>
      <c r="M5" t="s">
        <v>132</v>
      </c>
    </row>
    <row r="6" spans="1:14" x14ac:dyDescent="0.25">
      <c r="A6" s="4" t="s">
        <v>108</v>
      </c>
      <c r="B6">
        <v>8053</v>
      </c>
      <c r="C6" s="4" t="s">
        <v>106</v>
      </c>
      <c r="D6" t="s">
        <v>22</v>
      </c>
      <c r="E6" s="1" t="s">
        <v>40</v>
      </c>
      <c r="F6" t="s">
        <v>102</v>
      </c>
      <c r="G6" t="s">
        <v>112</v>
      </c>
      <c r="H6" t="s">
        <v>116</v>
      </c>
      <c r="I6" t="s">
        <v>121</v>
      </c>
      <c r="J6" t="s">
        <v>114</v>
      </c>
      <c r="K6" s="1" t="s">
        <v>104</v>
      </c>
      <c r="L6" t="s">
        <v>127</v>
      </c>
      <c r="M6" t="s">
        <v>133</v>
      </c>
    </row>
    <row r="7" spans="1:14" x14ac:dyDescent="0.25">
      <c r="A7" s="4" t="s">
        <v>108</v>
      </c>
      <c r="B7">
        <v>8053</v>
      </c>
      <c r="C7" s="4" t="s">
        <v>106</v>
      </c>
      <c r="D7" t="s">
        <v>18</v>
      </c>
      <c r="E7" s="1" t="s">
        <v>41</v>
      </c>
      <c r="F7" t="s">
        <v>103</v>
      </c>
      <c r="G7" t="s">
        <v>113</v>
      </c>
      <c r="H7" t="s">
        <v>116</v>
      </c>
      <c r="I7" t="s">
        <v>116</v>
      </c>
      <c r="J7" t="s">
        <v>110</v>
      </c>
      <c r="K7" s="1" t="s">
        <v>105</v>
      </c>
      <c r="L7" t="s">
        <v>128</v>
      </c>
      <c r="M7" t="s">
        <v>134</v>
      </c>
    </row>
    <row r="8" spans="1:14" x14ac:dyDescent="0.25">
      <c r="A8" s="4" t="s">
        <v>108</v>
      </c>
      <c r="B8">
        <v>8053</v>
      </c>
      <c r="C8" s="4" t="s">
        <v>106</v>
      </c>
      <c r="D8" t="s">
        <v>18</v>
      </c>
      <c r="E8" s="1" t="s">
        <v>40</v>
      </c>
      <c r="F8" t="s">
        <v>102</v>
      </c>
      <c r="G8" t="s">
        <v>114</v>
      </c>
      <c r="H8" t="s">
        <v>119</v>
      </c>
      <c r="I8" t="s">
        <v>116</v>
      </c>
      <c r="J8" t="s">
        <v>114</v>
      </c>
      <c r="K8" s="1" t="s">
        <v>104</v>
      </c>
      <c r="L8" t="s">
        <v>127</v>
      </c>
      <c r="M8" t="s">
        <v>135</v>
      </c>
    </row>
    <row r="9" spans="1:14" x14ac:dyDescent="0.25">
      <c r="A9" s="4" t="s">
        <v>108</v>
      </c>
      <c r="B9">
        <v>8053</v>
      </c>
      <c r="C9" s="4" t="s">
        <v>106</v>
      </c>
      <c r="D9" t="s">
        <v>18</v>
      </c>
      <c r="E9" s="1" t="s">
        <v>41</v>
      </c>
      <c r="F9" t="s">
        <v>103</v>
      </c>
      <c r="G9" t="s">
        <v>115</v>
      </c>
      <c r="H9" t="s">
        <v>116</v>
      </c>
      <c r="I9" t="s">
        <v>122</v>
      </c>
      <c r="J9" t="s">
        <v>110</v>
      </c>
      <c r="K9" s="1" t="s">
        <v>105</v>
      </c>
      <c r="L9" t="s">
        <v>128</v>
      </c>
      <c r="M9" t="s">
        <v>136</v>
      </c>
    </row>
    <row r="10" spans="1:14" x14ac:dyDescent="0.25">
      <c r="A10" s="4" t="s">
        <v>108</v>
      </c>
      <c r="B10">
        <v>8053</v>
      </c>
      <c r="C10" s="4" t="s">
        <v>106</v>
      </c>
      <c r="D10" t="s">
        <v>18</v>
      </c>
      <c r="E10" s="1" t="s">
        <v>40</v>
      </c>
      <c r="F10" t="s">
        <v>102</v>
      </c>
      <c r="G10" t="s">
        <v>114</v>
      </c>
      <c r="H10" t="s">
        <v>116</v>
      </c>
      <c r="I10" t="s">
        <v>123</v>
      </c>
      <c r="J10" t="s">
        <v>125</v>
      </c>
      <c r="K10" s="1" t="s">
        <v>104</v>
      </c>
      <c r="L10" t="s">
        <v>127</v>
      </c>
      <c r="M10" t="s">
        <v>137</v>
      </c>
    </row>
    <row r="11" spans="1:14" x14ac:dyDescent="0.25">
      <c r="A11" s="4" t="s">
        <v>108</v>
      </c>
      <c r="B11">
        <v>8053</v>
      </c>
      <c r="C11" s="4" t="s">
        <v>106</v>
      </c>
      <c r="D11" t="s">
        <v>18</v>
      </c>
      <c r="E11" s="1" t="s">
        <v>41</v>
      </c>
      <c r="F11" t="s">
        <v>103</v>
      </c>
      <c r="G11" t="s">
        <v>110</v>
      </c>
      <c r="H11" t="s">
        <v>116</v>
      </c>
      <c r="I11" t="s">
        <v>116</v>
      </c>
      <c r="J11" t="s">
        <v>126</v>
      </c>
      <c r="K11" s="1" t="s">
        <v>105</v>
      </c>
      <c r="L11" t="s">
        <v>128</v>
      </c>
      <c r="M11" t="s">
        <v>138</v>
      </c>
    </row>
    <row r="12" spans="1:14" x14ac:dyDescent="0.25">
      <c r="A12" s="4" t="s">
        <v>108</v>
      </c>
      <c r="B12">
        <v>8053</v>
      </c>
      <c r="C12" s="4" t="s">
        <v>106</v>
      </c>
      <c r="D12" t="s">
        <v>18</v>
      </c>
      <c r="E12" s="1" t="s">
        <v>41</v>
      </c>
      <c r="F12" t="s">
        <v>103</v>
      </c>
      <c r="G12" t="s">
        <v>115</v>
      </c>
      <c r="H12" t="s">
        <v>116</v>
      </c>
      <c r="I12" t="s">
        <v>122</v>
      </c>
      <c r="J12" t="s">
        <v>110</v>
      </c>
      <c r="K12" s="1" t="s">
        <v>105</v>
      </c>
      <c r="L12" t="s">
        <v>128</v>
      </c>
      <c r="M12" t="s">
        <v>136</v>
      </c>
    </row>
    <row r="13" spans="1:14" x14ac:dyDescent="0.25">
      <c r="A13" s="4" t="s">
        <v>108</v>
      </c>
      <c r="B13">
        <v>8053</v>
      </c>
      <c r="C13" s="4" t="s">
        <v>106</v>
      </c>
      <c r="D13" t="s">
        <v>18</v>
      </c>
      <c r="E13" s="1" t="s">
        <v>40</v>
      </c>
      <c r="F13" t="s">
        <v>102</v>
      </c>
      <c r="G13" t="s">
        <v>114</v>
      </c>
      <c r="H13" t="s">
        <v>116</v>
      </c>
      <c r="I13" t="s">
        <v>123</v>
      </c>
      <c r="J13" t="s">
        <v>125</v>
      </c>
      <c r="K13" s="1" t="s">
        <v>104</v>
      </c>
      <c r="L13" t="s">
        <v>127</v>
      </c>
      <c r="M13" t="s">
        <v>137</v>
      </c>
    </row>
    <row r="14" spans="1:14" x14ac:dyDescent="0.25">
      <c r="A14" s="4" t="s">
        <v>108</v>
      </c>
      <c r="B14">
        <v>8053</v>
      </c>
      <c r="C14" s="4" t="s">
        <v>106</v>
      </c>
      <c r="D14" t="s">
        <v>18</v>
      </c>
      <c r="E14" s="1" t="s">
        <v>41</v>
      </c>
      <c r="F14" t="s">
        <v>103</v>
      </c>
      <c r="G14" t="s">
        <v>110</v>
      </c>
      <c r="H14" t="s">
        <v>116</v>
      </c>
      <c r="I14" t="s">
        <v>116</v>
      </c>
      <c r="J14" t="s">
        <v>126</v>
      </c>
      <c r="K14" s="1" t="s">
        <v>105</v>
      </c>
      <c r="L14" t="s">
        <v>128</v>
      </c>
      <c r="M14" t="s">
        <v>138</v>
      </c>
    </row>
    <row r="16" spans="1:14" x14ac:dyDescent="0.25">
      <c r="K16" s="1"/>
    </row>
    <row r="17" spans="5:5" x14ac:dyDescent="0.25">
      <c r="E17" s="1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>
    <tabColor rgb="FFFF0000"/>
  </sheetPr>
  <dimension ref="A1:L15"/>
  <sheetViews>
    <sheetView workbookViewId="0">
      <selection activeCell="C25" sqref="C25"/>
    </sheetView>
  </sheetViews>
  <sheetFormatPr defaultRowHeight="15" x14ac:dyDescent="0.25"/>
  <cols>
    <col min="4" max="4" width="11.85546875" customWidth="1"/>
    <col min="5" max="5" width="22.5703125" customWidth="1"/>
    <col min="6" max="6" width="15.5703125" customWidth="1"/>
    <col min="7" max="7" width="9.85546875" customWidth="1"/>
    <col min="8" max="8" width="13.85546875" customWidth="1"/>
    <col min="9" max="9" width="12" customWidth="1"/>
    <col min="10" max="10" width="17.28515625" customWidth="1"/>
    <col min="11" max="11" width="14.42578125" customWidth="1"/>
    <col min="12" max="12" width="9.42578125" customWidth="1"/>
  </cols>
  <sheetData>
    <row r="1" spans="1:12" x14ac:dyDescent="0.25">
      <c r="A1" t="s">
        <v>3</v>
      </c>
      <c r="B1" t="s">
        <v>4</v>
      </c>
      <c r="C1" t="s">
        <v>5</v>
      </c>
      <c r="D1" t="s">
        <v>6</v>
      </c>
      <c r="E1" t="s">
        <v>7</v>
      </c>
      <c r="F1" t="s">
        <v>8</v>
      </c>
      <c r="G1" t="s">
        <v>9</v>
      </c>
      <c r="H1" t="s">
        <v>10</v>
      </c>
      <c r="I1" t="s">
        <v>11</v>
      </c>
      <c r="J1" t="s">
        <v>12</v>
      </c>
      <c r="K1" t="s">
        <v>13</v>
      </c>
      <c r="L1" t="s">
        <v>14</v>
      </c>
    </row>
    <row r="2" spans="1:12" x14ac:dyDescent="0.25">
      <c r="A2" t="s">
        <v>15</v>
      </c>
      <c r="B2" t="s">
        <v>16</v>
      </c>
      <c r="C2" t="s">
        <v>17</v>
      </c>
      <c r="D2" s="1">
        <v>44053</v>
      </c>
      <c r="E2" t="s">
        <v>18</v>
      </c>
      <c r="F2">
        <v>8053</v>
      </c>
      <c r="G2">
        <v>123456</v>
      </c>
      <c r="H2" s="1">
        <v>44056</v>
      </c>
      <c r="I2" s="2" t="s">
        <v>46</v>
      </c>
      <c r="J2" s="3" t="s">
        <v>24</v>
      </c>
      <c r="K2" s="3" t="s">
        <v>48</v>
      </c>
      <c r="L2" s="2" t="s">
        <v>25</v>
      </c>
    </row>
    <row r="3" spans="1:12" x14ac:dyDescent="0.25">
      <c r="A3" t="s">
        <v>19</v>
      </c>
      <c r="B3" t="s">
        <v>20</v>
      </c>
      <c r="C3" t="s">
        <v>21</v>
      </c>
      <c r="D3" s="1">
        <v>44063</v>
      </c>
      <c r="E3" t="s">
        <v>22</v>
      </c>
      <c r="F3">
        <v>8053</v>
      </c>
      <c r="G3">
        <v>457777</v>
      </c>
      <c r="H3" s="1">
        <v>44066</v>
      </c>
      <c r="I3" s="2" t="s">
        <v>23</v>
      </c>
      <c r="J3" s="3" t="s">
        <v>49</v>
      </c>
      <c r="K3" s="3" t="s">
        <v>51</v>
      </c>
      <c r="L3" s="2" t="s">
        <v>59</v>
      </c>
    </row>
    <row r="4" spans="1:12" x14ac:dyDescent="0.25">
      <c r="A4" t="s">
        <v>15</v>
      </c>
      <c r="B4" t="s">
        <v>16</v>
      </c>
      <c r="C4" t="s">
        <v>17</v>
      </c>
      <c r="D4" s="1">
        <v>44053</v>
      </c>
      <c r="E4" t="s">
        <v>22</v>
      </c>
      <c r="F4">
        <v>8053</v>
      </c>
      <c r="G4">
        <v>123456</v>
      </c>
      <c r="H4" s="1">
        <v>44056</v>
      </c>
      <c r="I4" s="2" t="s">
        <v>42</v>
      </c>
      <c r="J4" s="3" t="s">
        <v>24</v>
      </c>
      <c r="K4" s="3" t="s">
        <v>24</v>
      </c>
      <c r="L4" s="2" t="s">
        <v>25</v>
      </c>
    </row>
    <row r="5" spans="1:12" x14ac:dyDescent="0.25">
      <c r="A5" t="s">
        <v>19</v>
      </c>
      <c r="B5" t="s">
        <v>20</v>
      </c>
      <c r="C5" t="s">
        <v>21</v>
      </c>
      <c r="D5" s="1">
        <v>44063</v>
      </c>
      <c r="E5" t="s">
        <v>22</v>
      </c>
      <c r="F5">
        <v>8053</v>
      </c>
      <c r="G5">
        <v>457777</v>
      </c>
      <c r="H5" s="1">
        <v>44066</v>
      </c>
      <c r="I5" s="2" t="s">
        <v>23</v>
      </c>
      <c r="J5" s="3" t="s">
        <v>48</v>
      </c>
      <c r="K5" s="3" t="s">
        <v>24</v>
      </c>
      <c r="L5" s="2" t="s">
        <v>23</v>
      </c>
    </row>
    <row r="6" spans="1:12" x14ac:dyDescent="0.25">
      <c r="A6" t="s">
        <v>15</v>
      </c>
      <c r="B6" t="s">
        <v>16</v>
      </c>
      <c r="C6" t="s">
        <v>17</v>
      </c>
      <c r="D6" s="1">
        <v>44053</v>
      </c>
      <c r="E6" t="s">
        <v>22</v>
      </c>
      <c r="F6">
        <v>8053</v>
      </c>
      <c r="G6">
        <v>123456</v>
      </c>
      <c r="H6" s="1">
        <v>44056</v>
      </c>
      <c r="I6" s="2" t="s">
        <v>45</v>
      </c>
      <c r="J6" s="3" t="s">
        <v>24</v>
      </c>
      <c r="K6" s="3" t="s">
        <v>52</v>
      </c>
      <c r="L6" s="2" t="s">
        <v>25</v>
      </c>
    </row>
    <row r="7" spans="1:12" x14ac:dyDescent="0.25">
      <c r="A7" t="s">
        <v>19</v>
      </c>
      <c r="B7" t="s">
        <v>20</v>
      </c>
      <c r="C7" t="s">
        <v>21</v>
      </c>
      <c r="D7" s="1">
        <v>44063</v>
      </c>
      <c r="E7" t="s">
        <v>18</v>
      </c>
      <c r="F7">
        <v>8053</v>
      </c>
      <c r="G7">
        <v>457777</v>
      </c>
      <c r="H7" s="1">
        <v>44066</v>
      </c>
      <c r="I7" s="2" t="s">
        <v>44</v>
      </c>
      <c r="J7" s="3" t="s">
        <v>24</v>
      </c>
      <c r="K7" s="3" t="s">
        <v>24</v>
      </c>
      <c r="L7" s="2" t="s">
        <v>23</v>
      </c>
    </row>
    <row r="8" spans="1:12" x14ac:dyDescent="0.25">
      <c r="A8" t="s">
        <v>15</v>
      </c>
      <c r="B8" t="s">
        <v>16</v>
      </c>
      <c r="C8" t="s">
        <v>17</v>
      </c>
      <c r="D8" s="1">
        <v>44053</v>
      </c>
      <c r="E8" t="s">
        <v>18</v>
      </c>
      <c r="F8">
        <v>8053</v>
      </c>
      <c r="G8">
        <v>123456</v>
      </c>
      <c r="H8" s="1">
        <v>44056</v>
      </c>
      <c r="I8" s="2" t="s">
        <v>25</v>
      </c>
      <c r="J8" s="3" t="s">
        <v>50</v>
      </c>
      <c r="K8" s="3" t="s">
        <v>24</v>
      </c>
      <c r="L8" s="2" t="s">
        <v>25</v>
      </c>
    </row>
    <row r="9" spans="1:12" x14ac:dyDescent="0.25">
      <c r="A9" t="s">
        <v>19</v>
      </c>
      <c r="B9" t="s">
        <v>20</v>
      </c>
      <c r="C9" t="s">
        <v>21</v>
      </c>
      <c r="D9" s="1">
        <v>44063</v>
      </c>
      <c r="E9" t="s">
        <v>18</v>
      </c>
      <c r="F9">
        <v>8053</v>
      </c>
      <c r="G9">
        <v>457777</v>
      </c>
      <c r="H9" s="1">
        <v>44066</v>
      </c>
      <c r="I9" s="2" t="s">
        <v>43</v>
      </c>
      <c r="J9" s="3" t="s">
        <v>24</v>
      </c>
      <c r="K9" s="3" t="s">
        <v>53</v>
      </c>
      <c r="L9" s="2" t="s">
        <v>23</v>
      </c>
    </row>
    <row r="10" spans="1:12" x14ac:dyDescent="0.25">
      <c r="A10" t="s">
        <v>15</v>
      </c>
      <c r="B10" t="s">
        <v>16</v>
      </c>
      <c r="C10" t="s">
        <v>17</v>
      </c>
      <c r="D10" s="1">
        <v>44053</v>
      </c>
      <c r="E10" t="s">
        <v>18</v>
      </c>
      <c r="F10">
        <v>8053</v>
      </c>
      <c r="G10">
        <v>123456</v>
      </c>
      <c r="H10" s="1">
        <v>44056</v>
      </c>
      <c r="I10" s="2" t="s">
        <v>25</v>
      </c>
      <c r="J10" s="3" t="s">
        <v>24</v>
      </c>
      <c r="K10" s="3" t="s">
        <v>54</v>
      </c>
      <c r="L10" s="2" t="s">
        <v>57</v>
      </c>
    </row>
    <row r="11" spans="1:12" x14ac:dyDescent="0.25">
      <c r="A11" t="s">
        <v>19</v>
      </c>
      <c r="B11" t="s">
        <v>20</v>
      </c>
      <c r="C11" t="s">
        <v>21</v>
      </c>
      <c r="D11" s="1">
        <v>44063</v>
      </c>
      <c r="E11" t="s">
        <v>18</v>
      </c>
      <c r="F11">
        <v>8053</v>
      </c>
      <c r="G11">
        <v>457777</v>
      </c>
      <c r="H11" s="1">
        <v>44066</v>
      </c>
      <c r="I11" s="2" t="s">
        <v>23</v>
      </c>
      <c r="J11" s="3" t="s">
        <v>24</v>
      </c>
      <c r="K11" s="3" t="s">
        <v>24</v>
      </c>
      <c r="L11" s="2" t="s">
        <v>58</v>
      </c>
    </row>
    <row r="12" spans="1:12" x14ac:dyDescent="0.25">
      <c r="A12" t="s">
        <v>19</v>
      </c>
      <c r="B12" t="s">
        <v>20</v>
      </c>
      <c r="C12" t="s">
        <v>21</v>
      </c>
      <c r="D12" s="1">
        <v>44063</v>
      </c>
      <c r="E12" t="s">
        <v>18</v>
      </c>
      <c r="F12">
        <v>8053</v>
      </c>
      <c r="G12">
        <v>457777</v>
      </c>
      <c r="H12" s="1">
        <v>44066</v>
      </c>
      <c r="I12" s="2" t="s">
        <v>43</v>
      </c>
      <c r="J12" s="3" t="s">
        <v>24</v>
      </c>
      <c r="K12" s="3" t="s">
        <v>53</v>
      </c>
      <c r="L12" s="2" t="s">
        <v>23</v>
      </c>
    </row>
    <row r="13" spans="1:12" x14ac:dyDescent="0.25">
      <c r="A13" t="s">
        <v>15</v>
      </c>
      <c r="B13" t="s">
        <v>16</v>
      </c>
      <c r="C13" t="s">
        <v>17</v>
      </c>
      <c r="D13" s="1">
        <v>44053</v>
      </c>
      <c r="E13" t="s">
        <v>18</v>
      </c>
      <c r="F13">
        <v>8053</v>
      </c>
      <c r="G13">
        <v>123456</v>
      </c>
      <c r="H13" s="1">
        <v>44056</v>
      </c>
      <c r="I13" s="2" t="s">
        <v>25</v>
      </c>
      <c r="J13" s="3" t="s">
        <v>24</v>
      </c>
      <c r="K13" s="3" t="s">
        <v>54</v>
      </c>
      <c r="L13" s="2" t="s">
        <v>57</v>
      </c>
    </row>
    <row r="14" spans="1:12" x14ac:dyDescent="0.25">
      <c r="A14" t="s">
        <v>19</v>
      </c>
      <c r="B14" t="s">
        <v>20</v>
      </c>
      <c r="C14" t="s">
        <v>21</v>
      </c>
      <c r="D14" s="1">
        <v>44063</v>
      </c>
      <c r="E14" t="s">
        <v>18</v>
      </c>
      <c r="F14">
        <v>8053</v>
      </c>
      <c r="G14">
        <v>457777</v>
      </c>
      <c r="H14" s="1">
        <v>44066</v>
      </c>
      <c r="I14" s="2" t="s">
        <v>23</v>
      </c>
      <c r="J14" s="3" t="s">
        <v>24</v>
      </c>
      <c r="K14" s="3" t="s">
        <v>24</v>
      </c>
      <c r="L14" s="2" t="s">
        <v>58</v>
      </c>
    </row>
    <row r="15" spans="1:12" x14ac:dyDescent="0.25">
      <c r="D15" s="1"/>
      <c r="H15" s="1"/>
      <c r="I15" s="2"/>
      <c r="J15" s="3"/>
      <c r="K15" s="3"/>
      <c r="L15" s="2"/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/>
  <dimension ref="A1:N19"/>
  <sheetViews>
    <sheetView workbookViewId="0">
      <selection activeCell="D7" sqref="D7"/>
    </sheetView>
  </sheetViews>
  <sheetFormatPr defaultRowHeight="15" x14ac:dyDescent="0.25"/>
  <cols>
    <col min="14" max="14" width="17.140625" customWidth="1"/>
  </cols>
  <sheetData>
    <row r="1" spans="1:14" x14ac:dyDescent="0.25">
      <c r="A1" t="s">
        <v>87</v>
      </c>
      <c r="B1" t="s">
        <v>88</v>
      </c>
      <c r="C1" s="6" t="s">
        <v>3</v>
      </c>
      <c r="D1" t="s">
        <v>4</v>
      </c>
      <c r="E1" s="7" t="s">
        <v>5</v>
      </c>
      <c r="F1" s="8" t="s">
        <v>6</v>
      </c>
      <c r="G1" s="9" t="s">
        <v>7</v>
      </c>
      <c r="H1" t="s">
        <v>8</v>
      </c>
      <c r="I1" s="10" t="s">
        <v>9</v>
      </c>
      <c r="J1" t="s">
        <v>10</v>
      </c>
      <c r="K1" t="s">
        <v>11</v>
      </c>
      <c r="L1" t="s">
        <v>12</v>
      </c>
      <c r="M1" t="s">
        <v>13</v>
      </c>
      <c r="N1" t="s">
        <v>14</v>
      </c>
    </row>
    <row r="2" spans="1:14" x14ac:dyDescent="0.25">
      <c r="A2" s="4" t="s">
        <v>89</v>
      </c>
      <c r="B2">
        <v>1</v>
      </c>
      <c r="C2" t="s">
        <v>15</v>
      </c>
      <c r="D2" t="s">
        <v>16</v>
      </c>
      <c r="E2" t="s">
        <v>17</v>
      </c>
      <c r="F2" s="1">
        <v>44053</v>
      </c>
      <c r="G2" t="s">
        <v>18</v>
      </c>
      <c r="H2">
        <v>8053</v>
      </c>
      <c r="I2">
        <v>123456</v>
      </c>
      <c r="J2" s="1">
        <v>44056</v>
      </c>
      <c r="K2" s="2">
        <v>3250.68</v>
      </c>
      <c r="L2" s="3">
        <v>0</v>
      </c>
      <c r="M2" s="3">
        <v>0</v>
      </c>
      <c r="N2" s="2">
        <v>3250.68</v>
      </c>
    </row>
    <row r="3" spans="1:14" x14ac:dyDescent="0.25">
      <c r="A3" s="4" t="s">
        <v>89</v>
      </c>
      <c r="B3">
        <v>1</v>
      </c>
      <c r="C3" t="s">
        <v>19</v>
      </c>
      <c r="D3" t="s">
        <v>20</v>
      </c>
      <c r="E3" t="s">
        <v>21</v>
      </c>
      <c r="F3" s="1">
        <v>44063</v>
      </c>
      <c r="G3" t="s">
        <v>22</v>
      </c>
      <c r="H3">
        <v>8053</v>
      </c>
      <c r="I3">
        <v>457777</v>
      </c>
      <c r="J3" s="1">
        <v>44066</v>
      </c>
      <c r="K3" s="2">
        <v>3892.87</v>
      </c>
      <c r="L3" s="3">
        <v>0</v>
      </c>
      <c r="M3" s="3">
        <v>0</v>
      </c>
      <c r="N3" s="2">
        <v>3892.87</v>
      </c>
    </row>
    <row r="6" spans="1:14" x14ac:dyDescent="0.25">
      <c r="C6" t="s">
        <v>87</v>
      </c>
      <c r="D6" s="4" t="s">
        <v>89</v>
      </c>
    </row>
    <row r="7" spans="1:14" x14ac:dyDescent="0.25">
      <c r="C7" t="s">
        <v>90</v>
      </c>
      <c r="D7">
        <v>8053</v>
      </c>
    </row>
    <row r="8" spans="1:14" x14ac:dyDescent="0.25">
      <c r="C8" t="s">
        <v>91</v>
      </c>
      <c r="D8">
        <v>1</v>
      </c>
    </row>
    <row r="9" spans="1:14" x14ac:dyDescent="0.25">
      <c r="C9" t="s">
        <v>92</v>
      </c>
      <c r="D9" s="9" t="s">
        <v>7</v>
      </c>
    </row>
    <row r="10" spans="1:14" x14ac:dyDescent="0.25">
      <c r="C10" t="s">
        <v>93</v>
      </c>
      <c r="D10" s="8" t="s">
        <v>6</v>
      </c>
    </row>
    <row r="11" spans="1:14" x14ac:dyDescent="0.25">
      <c r="C11" t="s">
        <v>9</v>
      </c>
      <c r="D11" s="10" t="s">
        <v>9</v>
      </c>
    </row>
    <row r="12" spans="1:14" x14ac:dyDescent="0.25">
      <c r="C12" t="s">
        <v>94</v>
      </c>
    </row>
    <row r="13" spans="1:14" x14ac:dyDescent="0.25">
      <c r="C13" t="s">
        <v>95</v>
      </c>
    </row>
    <row r="14" spans="1:14" x14ac:dyDescent="0.25">
      <c r="C14" t="s">
        <v>96</v>
      </c>
    </row>
    <row r="15" spans="1:14" x14ac:dyDescent="0.25">
      <c r="C15" t="s">
        <v>14</v>
      </c>
    </row>
    <row r="16" spans="1:14" x14ac:dyDescent="0.25">
      <c r="C16" t="s">
        <v>97</v>
      </c>
    </row>
    <row r="17" spans="3:4" x14ac:dyDescent="0.25">
      <c r="C17" t="s">
        <v>98</v>
      </c>
    </row>
    <row r="18" spans="3:4" x14ac:dyDescent="0.25">
      <c r="C18" t="s">
        <v>99</v>
      </c>
      <c r="D18" s="7" t="s">
        <v>5</v>
      </c>
    </row>
    <row r="19" spans="3:4" x14ac:dyDescent="0.25">
      <c r="C19" t="s">
        <v>100</v>
      </c>
      <c r="D19" s="6" t="s">
        <v>3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/>
  <dimension ref="A1:P14"/>
  <sheetViews>
    <sheetView workbookViewId="0">
      <selection activeCell="E21" sqref="E21"/>
    </sheetView>
  </sheetViews>
  <sheetFormatPr defaultRowHeight="15" x14ac:dyDescent="0.25"/>
  <sheetData>
    <row r="1" spans="1:16" x14ac:dyDescent="0.25">
      <c r="A1" t="s">
        <v>32</v>
      </c>
      <c r="B1" t="s">
        <v>26</v>
      </c>
      <c r="C1" t="s">
        <v>27</v>
      </c>
      <c r="D1" t="s">
        <v>28</v>
      </c>
      <c r="E1" t="s">
        <v>29</v>
      </c>
      <c r="F1" t="s">
        <v>30</v>
      </c>
      <c r="G1" t="s">
        <v>31</v>
      </c>
      <c r="H1" t="s">
        <v>32</v>
      </c>
      <c r="I1" s="5" t="s">
        <v>33</v>
      </c>
      <c r="J1" s="5" t="s">
        <v>34</v>
      </c>
      <c r="K1" s="5" t="s">
        <v>35</v>
      </c>
      <c r="L1" s="5" t="s">
        <v>39</v>
      </c>
      <c r="M1" t="s">
        <v>36</v>
      </c>
      <c r="N1" t="s">
        <v>37</v>
      </c>
      <c r="O1" t="s">
        <v>60</v>
      </c>
      <c r="P1" s="5" t="s">
        <v>38</v>
      </c>
    </row>
    <row r="2" spans="1:16" x14ac:dyDescent="0.25">
      <c r="A2" s="4" t="s">
        <v>63</v>
      </c>
      <c r="B2" s="4" t="s">
        <v>64</v>
      </c>
      <c r="C2">
        <v>1</v>
      </c>
      <c r="D2" s="4" t="s">
        <v>65</v>
      </c>
      <c r="E2" s="1" t="s">
        <v>40</v>
      </c>
      <c r="F2" s="4" t="s">
        <v>47</v>
      </c>
      <c r="G2" s="4" t="s">
        <v>64</v>
      </c>
      <c r="H2" s="4" t="s">
        <v>61</v>
      </c>
      <c r="I2" t="s">
        <v>66</v>
      </c>
      <c r="J2" t="s">
        <v>73</v>
      </c>
      <c r="K2" t="s">
        <v>75</v>
      </c>
      <c r="L2" t="s">
        <v>71</v>
      </c>
      <c r="M2" s="1" t="s">
        <v>55</v>
      </c>
      <c r="N2" s="1" t="s">
        <v>55</v>
      </c>
      <c r="O2" t="s">
        <v>86</v>
      </c>
      <c r="P2" t="s">
        <v>84</v>
      </c>
    </row>
    <row r="3" spans="1:16" x14ac:dyDescent="0.25">
      <c r="A3" s="4" t="s">
        <v>63</v>
      </c>
      <c r="B3" s="4" t="s">
        <v>64</v>
      </c>
      <c r="C3">
        <v>1</v>
      </c>
      <c r="D3" s="4" t="s">
        <v>65</v>
      </c>
      <c r="E3" s="1" t="s">
        <v>41</v>
      </c>
      <c r="F3" s="4" t="s">
        <v>47</v>
      </c>
      <c r="G3" s="4" t="s">
        <v>64</v>
      </c>
      <c r="H3" s="4" t="s">
        <v>61</v>
      </c>
      <c r="I3" t="s">
        <v>67</v>
      </c>
      <c r="J3" t="s">
        <v>74</v>
      </c>
      <c r="K3" t="s">
        <v>77</v>
      </c>
      <c r="L3" t="s">
        <v>81</v>
      </c>
      <c r="M3" s="1" t="s">
        <v>56</v>
      </c>
      <c r="N3" s="1" t="s">
        <v>56</v>
      </c>
      <c r="O3" t="s">
        <v>86</v>
      </c>
      <c r="P3" t="s">
        <v>85</v>
      </c>
    </row>
    <row r="4" spans="1:16" x14ac:dyDescent="0.25">
      <c r="A4" s="4" t="s">
        <v>63</v>
      </c>
      <c r="B4" s="4" t="s">
        <v>64</v>
      </c>
      <c r="C4">
        <v>1</v>
      </c>
      <c r="D4" s="4" t="s">
        <v>65</v>
      </c>
      <c r="E4" s="1" t="s">
        <v>40</v>
      </c>
      <c r="F4" s="4" t="s">
        <v>47</v>
      </c>
      <c r="G4" s="4" t="s">
        <v>64</v>
      </c>
      <c r="H4" s="4" t="s">
        <v>61</v>
      </c>
      <c r="I4" t="s">
        <v>68</v>
      </c>
      <c r="J4" t="s">
        <v>73</v>
      </c>
      <c r="K4" t="s">
        <v>73</v>
      </c>
      <c r="L4" t="s">
        <v>71</v>
      </c>
      <c r="M4" s="1" t="s">
        <v>55</v>
      </c>
      <c r="N4" s="1" t="s">
        <v>55</v>
      </c>
      <c r="O4" t="s">
        <v>86</v>
      </c>
      <c r="P4" t="s">
        <v>84</v>
      </c>
    </row>
    <row r="5" spans="1:16" x14ac:dyDescent="0.25">
      <c r="A5" s="4" t="s">
        <v>63</v>
      </c>
      <c r="B5" s="4" t="s">
        <v>64</v>
      </c>
      <c r="C5">
        <v>1</v>
      </c>
      <c r="D5" s="4" t="s">
        <v>65</v>
      </c>
      <c r="E5" s="1" t="s">
        <v>41</v>
      </c>
      <c r="F5" s="4" t="s">
        <v>47</v>
      </c>
      <c r="G5" s="4" t="s">
        <v>64</v>
      </c>
      <c r="H5" s="4" t="s">
        <v>61</v>
      </c>
      <c r="I5" t="s">
        <v>67</v>
      </c>
      <c r="J5" t="s">
        <v>75</v>
      </c>
      <c r="K5" t="s">
        <v>73</v>
      </c>
      <c r="L5" t="s">
        <v>67</v>
      </c>
      <c r="M5" s="1" t="s">
        <v>56</v>
      </c>
      <c r="N5" s="1" t="s">
        <v>56</v>
      </c>
      <c r="O5" t="s">
        <v>86</v>
      </c>
      <c r="P5" t="s">
        <v>85</v>
      </c>
    </row>
    <row r="6" spans="1:16" x14ac:dyDescent="0.25">
      <c r="A6" s="4" t="s">
        <v>63</v>
      </c>
      <c r="B6" s="4" t="s">
        <v>64</v>
      </c>
      <c r="C6">
        <v>1</v>
      </c>
      <c r="D6" s="4" t="s">
        <v>65</v>
      </c>
      <c r="E6" s="1" t="s">
        <v>40</v>
      </c>
      <c r="F6" s="4" t="s">
        <v>47</v>
      </c>
      <c r="G6" s="4" t="s">
        <v>64</v>
      </c>
      <c r="H6" s="4" t="s">
        <v>61</v>
      </c>
      <c r="I6" t="s">
        <v>69</v>
      </c>
      <c r="J6" t="s">
        <v>73</v>
      </c>
      <c r="K6" t="s">
        <v>78</v>
      </c>
      <c r="L6" t="s">
        <v>71</v>
      </c>
      <c r="M6" s="1" t="s">
        <v>55</v>
      </c>
      <c r="N6" s="1" t="s">
        <v>55</v>
      </c>
      <c r="O6" t="s">
        <v>86</v>
      </c>
      <c r="P6" t="s">
        <v>84</v>
      </c>
    </row>
    <row r="7" spans="1:16" x14ac:dyDescent="0.25">
      <c r="A7" s="4" t="s">
        <v>63</v>
      </c>
      <c r="B7" s="4" t="s">
        <v>64</v>
      </c>
      <c r="C7">
        <v>1</v>
      </c>
      <c r="D7" s="4" t="s">
        <v>65</v>
      </c>
      <c r="E7" s="1" t="s">
        <v>41</v>
      </c>
      <c r="F7" s="4" t="s">
        <v>47</v>
      </c>
      <c r="G7" s="4" t="s">
        <v>64</v>
      </c>
      <c r="H7" s="4" t="s">
        <v>61</v>
      </c>
      <c r="I7" t="s">
        <v>70</v>
      </c>
      <c r="J7" t="s">
        <v>73</v>
      </c>
      <c r="K7" t="s">
        <v>73</v>
      </c>
      <c r="L7" t="s">
        <v>67</v>
      </c>
      <c r="M7" s="1" t="s">
        <v>56</v>
      </c>
      <c r="N7" s="1" t="s">
        <v>56</v>
      </c>
      <c r="O7" t="s">
        <v>86</v>
      </c>
      <c r="P7" t="s">
        <v>85</v>
      </c>
    </row>
    <row r="8" spans="1:16" x14ac:dyDescent="0.25">
      <c r="A8" s="4" t="s">
        <v>63</v>
      </c>
      <c r="B8" s="4" t="s">
        <v>64</v>
      </c>
      <c r="C8">
        <v>1</v>
      </c>
      <c r="D8" s="4" t="s">
        <v>65</v>
      </c>
      <c r="E8" s="1" t="s">
        <v>40</v>
      </c>
      <c r="F8" s="4" t="s">
        <v>47</v>
      </c>
      <c r="G8" s="4" t="s">
        <v>64</v>
      </c>
      <c r="H8" s="4" t="s">
        <v>61</v>
      </c>
      <c r="I8" t="s">
        <v>71</v>
      </c>
      <c r="J8" t="s">
        <v>76</v>
      </c>
      <c r="K8" t="s">
        <v>73</v>
      </c>
      <c r="L8" t="s">
        <v>71</v>
      </c>
      <c r="M8" s="1" t="s">
        <v>55</v>
      </c>
      <c r="N8" s="1" t="s">
        <v>55</v>
      </c>
      <c r="O8" t="s">
        <v>86</v>
      </c>
      <c r="P8" t="s">
        <v>84</v>
      </c>
    </row>
    <row r="9" spans="1:16" x14ac:dyDescent="0.25">
      <c r="A9" s="4" t="s">
        <v>63</v>
      </c>
      <c r="B9" s="4" t="s">
        <v>64</v>
      </c>
      <c r="C9">
        <v>1</v>
      </c>
      <c r="D9" s="4" t="s">
        <v>65</v>
      </c>
      <c r="E9" s="1" t="s">
        <v>41</v>
      </c>
      <c r="F9" s="4" t="s">
        <v>47</v>
      </c>
      <c r="G9" s="4" t="s">
        <v>64</v>
      </c>
      <c r="H9" s="4" t="s">
        <v>61</v>
      </c>
      <c r="I9" t="s">
        <v>72</v>
      </c>
      <c r="J9" t="s">
        <v>73</v>
      </c>
      <c r="K9" t="s">
        <v>79</v>
      </c>
      <c r="L9" t="s">
        <v>67</v>
      </c>
      <c r="M9" s="1" t="s">
        <v>56</v>
      </c>
      <c r="N9" s="1" t="s">
        <v>56</v>
      </c>
      <c r="O9" t="s">
        <v>86</v>
      </c>
      <c r="P9" t="s">
        <v>85</v>
      </c>
    </row>
    <row r="10" spans="1:16" x14ac:dyDescent="0.25">
      <c r="A10" s="4" t="s">
        <v>63</v>
      </c>
      <c r="B10" s="4" t="s">
        <v>64</v>
      </c>
      <c r="C10">
        <v>1</v>
      </c>
      <c r="D10" s="4" t="s">
        <v>65</v>
      </c>
      <c r="E10" s="1" t="s">
        <v>40</v>
      </c>
      <c r="F10" s="4" t="s">
        <v>47</v>
      </c>
      <c r="G10" s="4" t="s">
        <v>64</v>
      </c>
      <c r="H10" s="4" t="s">
        <v>61</v>
      </c>
      <c r="I10" t="s">
        <v>71</v>
      </c>
      <c r="J10" t="s">
        <v>73</v>
      </c>
      <c r="K10" t="s">
        <v>80</v>
      </c>
      <c r="L10" t="s">
        <v>82</v>
      </c>
      <c r="M10" s="1" t="s">
        <v>55</v>
      </c>
      <c r="N10" s="1" t="s">
        <v>55</v>
      </c>
      <c r="O10" t="s">
        <v>86</v>
      </c>
      <c r="P10" t="s">
        <v>84</v>
      </c>
    </row>
    <row r="11" spans="1:16" x14ac:dyDescent="0.25">
      <c r="A11" s="4" t="s">
        <v>63</v>
      </c>
      <c r="B11" s="4" t="s">
        <v>64</v>
      </c>
      <c r="C11">
        <v>1</v>
      </c>
      <c r="D11" s="4" t="s">
        <v>65</v>
      </c>
      <c r="E11" s="1" t="s">
        <v>41</v>
      </c>
      <c r="F11" s="4" t="s">
        <v>47</v>
      </c>
      <c r="G11" s="4" t="s">
        <v>64</v>
      </c>
      <c r="H11" s="4" t="s">
        <v>61</v>
      </c>
      <c r="I11" t="s">
        <v>67</v>
      </c>
      <c r="J11" t="s">
        <v>73</v>
      </c>
      <c r="K11" t="s">
        <v>73</v>
      </c>
      <c r="L11" t="s">
        <v>83</v>
      </c>
      <c r="M11" s="1" t="s">
        <v>56</v>
      </c>
      <c r="N11" s="1" t="s">
        <v>56</v>
      </c>
      <c r="O11" t="s">
        <v>86</v>
      </c>
      <c r="P11" t="s">
        <v>85</v>
      </c>
    </row>
    <row r="12" spans="1:16" x14ac:dyDescent="0.25">
      <c r="A12" s="4" t="s">
        <v>63</v>
      </c>
      <c r="B12" s="4" t="s">
        <v>64</v>
      </c>
      <c r="C12">
        <v>1</v>
      </c>
      <c r="D12" s="4" t="s">
        <v>65</v>
      </c>
      <c r="E12" s="1" t="s">
        <v>41</v>
      </c>
      <c r="F12" s="4" t="s">
        <v>47</v>
      </c>
      <c r="G12" s="4" t="s">
        <v>64</v>
      </c>
      <c r="H12" s="4" t="s">
        <v>61</v>
      </c>
      <c r="I12" t="s">
        <v>72</v>
      </c>
      <c r="J12" t="s">
        <v>73</v>
      </c>
      <c r="K12" t="s">
        <v>79</v>
      </c>
      <c r="L12" t="s">
        <v>67</v>
      </c>
      <c r="M12" s="1" t="s">
        <v>56</v>
      </c>
      <c r="N12" s="1" t="s">
        <v>56</v>
      </c>
      <c r="O12" t="s">
        <v>86</v>
      </c>
      <c r="P12" t="s">
        <v>85</v>
      </c>
    </row>
    <row r="13" spans="1:16" x14ac:dyDescent="0.25">
      <c r="A13" s="4" t="s">
        <v>63</v>
      </c>
      <c r="B13" s="4" t="s">
        <v>64</v>
      </c>
      <c r="C13">
        <v>1</v>
      </c>
      <c r="D13" s="4" t="s">
        <v>65</v>
      </c>
      <c r="E13" s="1" t="s">
        <v>40</v>
      </c>
      <c r="F13" s="4" t="s">
        <v>47</v>
      </c>
      <c r="G13" s="4" t="s">
        <v>64</v>
      </c>
      <c r="H13" s="4" t="s">
        <v>61</v>
      </c>
      <c r="I13" t="s">
        <v>71</v>
      </c>
      <c r="J13" t="s">
        <v>73</v>
      </c>
      <c r="K13" t="s">
        <v>80</v>
      </c>
      <c r="L13" t="s">
        <v>82</v>
      </c>
      <c r="M13" s="1" t="s">
        <v>55</v>
      </c>
      <c r="N13" s="1" t="s">
        <v>55</v>
      </c>
      <c r="O13" t="s">
        <v>86</v>
      </c>
      <c r="P13" t="s">
        <v>84</v>
      </c>
    </row>
    <row r="14" spans="1:16" x14ac:dyDescent="0.25">
      <c r="A14" s="4" t="s">
        <v>63</v>
      </c>
      <c r="B14" s="4" t="s">
        <v>64</v>
      </c>
      <c r="C14">
        <v>1</v>
      </c>
      <c r="D14" s="4" t="s">
        <v>65</v>
      </c>
      <c r="E14" s="1" t="s">
        <v>41</v>
      </c>
      <c r="F14" s="4" t="s">
        <v>47</v>
      </c>
      <c r="G14" s="4" t="s">
        <v>64</v>
      </c>
      <c r="H14" s="4" t="s">
        <v>61</v>
      </c>
      <c r="I14" t="s">
        <v>67</v>
      </c>
      <c r="J14" t="s">
        <v>73</v>
      </c>
      <c r="K14" t="s">
        <v>73</v>
      </c>
      <c r="L14" t="s">
        <v>83</v>
      </c>
      <c r="M14" s="1" t="s">
        <v>56</v>
      </c>
      <c r="N14" s="1" t="s">
        <v>56</v>
      </c>
      <c r="O14" t="s">
        <v>86</v>
      </c>
      <c r="P14" t="s">
        <v>85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A1:Q3"/>
  <sheetViews>
    <sheetView workbookViewId="0">
      <selection activeCell="F20" sqref="F20"/>
    </sheetView>
  </sheetViews>
  <sheetFormatPr defaultRowHeight="15" x14ac:dyDescent="0.25"/>
  <cols>
    <col min="17" max="17" width="17.7109375" bestFit="1" customWidth="1"/>
  </cols>
  <sheetData>
    <row r="1" spans="1:17" x14ac:dyDescent="0.25">
      <c r="A1" t="s">
        <v>32</v>
      </c>
      <c r="B1" t="s">
        <v>26</v>
      </c>
      <c r="C1" t="s">
        <v>27</v>
      </c>
      <c r="D1" t="s">
        <v>28</v>
      </c>
      <c r="E1" t="s">
        <v>29</v>
      </c>
      <c r="F1" t="s">
        <v>30</v>
      </c>
      <c r="G1" t="s">
        <v>31</v>
      </c>
      <c r="H1" t="s">
        <v>32</v>
      </c>
      <c r="I1" s="5" t="s">
        <v>33</v>
      </c>
      <c r="J1" s="5" t="s">
        <v>34</v>
      </c>
      <c r="K1" s="5" t="s">
        <v>35</v>
      </c>
      <c r="L1" s="5" t="s">
        <v>39</v>
      </c>
      <c r="M1" t="s">
        <v>36</v>
      </c>
      <c r="N1" t="s">
        <v>37</v>
      </c>
      <c r="O1" t="s">
        <v>60</v>
      </c>
      <c r="P1" s="5" t="s">
        <v>38</v>
      </c>
      <c r="Q1" t="s">
        <v>62</v>
      </c>
    </row>
    <row r="2" spans="1:17" x14ac:dyDescent="0.25">
      <c r="A2">
        <v>17</v>
      </c>
      <c r="B2">
        <v>2</v>
      </c>
      <c r="C2">
        <v>5</v>
      </c>
      <c r="D2">
        <v>14</v>
      </c>
      <c r="E2">
        <v>8</v>
      </c>
      <c r="F2">
        <v>9</v>
      </c>
      <c r="G2">
        <v>4</v>
      </c>
      <c r="H2">
        <v>4</v>
      </c>
      <c r="I2">
        <v>14</v>
      </c>
      <c r="J2">
        <v>14</v>
      </c>
      <c r="K2">
        <v>14</v>
      </c>
      <c r="L2">
        <v>14</v>
      </c>
      <c r="M2">
        <v>8</v>
      </c>
      <c r="N2">
        <v>8</v>
      </c>
      <c r="O2">
        <v>30</v>
      </c>
      <c r="P2">
        <v>30</v>
      </c>
      <c r="Q2">
        <f>SUM(A2:P2)</f>
        <v>195</v>
      </c>
    </row>
    <row r="3" spans="1:17" x14ac:dyDescent="0.25">
      <c r="A3">
        <v>17</v>
      </c>
      <c r="B3">
        <v>2</v>
      </c>
      <c r="C3">
        <v>5</v>
      </c>
      <c r="D3">
        <v>14</v>
      </c>
      <c r="E3">
        <v>8</v>
      </c>
      <c r="F3">
        <v>9</v>
      </c>
      <c r="G3">
        <v>4</v>
      </c>
      <c r="H3">
        <v>4</v>
      </c>
      <c r="I3">
        <v>14</v>
      </c>
      <c r="J3">
        <v>14</v>
      </c>
      <c r="K3">
        <v>14</v>
      </c>
      <c r="L3">
        <v>14</v>
      </c>
      <c r="M3">
        <v>8</v>
      </c>
      <c r="N3">
        <v>8</v>
      </c>
      <c r="O3">
        <v>30</v>
      </c>
      <c r="P3">
        <v>30</v>
      </c>
      <c r="Q3">
        <f>SUM(A3:P3)</f>
        <v>195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L19"/>
  <sheetViews>
    <sheetView zoomScale="85" zoomScaleNormal="85" workbookViewId="0">
      <selection activeCell="E29" sqref="E29"/>
    </sheetView>
  </sheetViews>
  <sheetFormatPr defaultRowHeight="15" x14ac:dyDescent="0.25"/>
  <cols>
    <col min="1" max="1" width="16.42578125" customWidth="1"/>
    <col min="3" max="3" width="28.42578125" customWidth="1"/>
    <col min="4" max="4" width="18.140625" customWidth="1"/>
    <col min="5" max="5" width="13.5703125" bestFit="1" customWidth="1"/>
    <col min="6" max="6" width="13.140625" bestFit="1" customWidth="1"/>
    <col min="7" max="7" width="9.5703125" bestFit="1" customWidth="1"/>
    <col min="8" max="8" width="17.85546875" bestFit="1" customWidth="1"/>
    <col min="9" max="9" width="15.42578125" bestFit="1" customWidth="1"/>
    <col min="10" max="10" width="13.140625" bestFit="1" customWidth="1"/>
    <col min="11" max="11" width="13.5703125" bestFit="1" customWidth="1"/>
    <col min="12" max="12" width="15.140625" customWidth="1"/>
  </cols>
  <sheetData>
    <row r="1" spans="1:1" x14ac:dyDescent="0.25">
      <c r="A1" t="s">
        <v>0</v>
      </c>
    </row>
    <row r="2" spans="1:1" x14ac:dyDescent="0.25">
      <c r="A2" t="s">
        <v>1</v>
      </c>
    </row>
    <row r="3" spans="1:1" x14ac:dyDescent="0.25">
      <c r="A3" t="s">
        <v>2</v>
      </c>
    </row>
    <row r="17" spans="1:12" x14ac:dyDescent="0.25">
      <c r="A17" t="s">
        <v>3</v>
      </c>
      <c r="B17" t="s">
        <v>4</v>
      </c>
      <c r="C17" t="s">
        <v>5</v>
      </c>
      <c r="D17" t="s">
        <v>6</v>
      </c>
      <c r="E17" t="s">
        <v>7</v>
      </c>
      <c r="F17" t="s">
        <v>8</v>
      </c>
      <c r="G17" t="s">
        <v>9</v>
      </c>
      <c r="H17" t="s">
        <v>10</v>
      </c>
      <c r="I17" t="s">
        <v>11</v>
      </c>
      <c r="J17" t="s">
        <v>12</v>
      </c>
      <c r="K17" t="s">
        <v>13</v>
      </c>
      <c r="L17" t="s">
        <v>14</v>
      </c>
    </row>
    <row r="18" spans="1:12" x14ac:dyDescent="0.25">
      <c r="A18" t="s">
        <v>15</v>
      </c>
      <c r="B18" t="s">
        <v>16</v>
      </c>
      <c r="C18" t="s">
        <v>17</v>
      </c>
      <c r="D18" s="1">
        <v>44053</v>
      </c>
      <c r="E18" t="s">
        <v>18</v>
      </c>
      <c r="F18">
        <v>8053</v>
      </c>
      <c r="G18">
        <v>123456</v>
      </c>
      <c r="H18" s="1">
        <v>44056</v>
      </c>
      <c r="I18" s="2">
        <v>3250.68</v>
      </c>
      <c r="J18" s="3">
        <v>0</v>
      </c>
      <c r="K18" s="3">
        <v>0</v>
      </c>
      <c r="L18" s="2">
        <v>3250.68</v>
      </c>
    </row>
    <row r="19" spans="1:12" x14ac:dyDescent="0.25">
      <c r="A19" t="s">
        <v>19</v>
      </c>
      <c r="B19" t="s">
        <v>20</v>
      </c>
      <c r="C19" t="s">
        <v>21</v>
      </c>
      <c r="D19" s="1">
        <v>44063</v>
      </c>
      <c r="E19" t="s">
        <v>22</v>
      </c>
      <c r="F19">
        <v>8053</v>
      </c>
      <c r="G19">
        <v>457777</v>
      </c>
      <c r="H19" s="1">
        <v>44066</v>
      </c>
      <c r="I19" s="2">
        <v>3892.87</v>
      </c>
      <c r="J19" s="3">
        <v>0</v>
      </c>
      <c r="K19" s="3">
        <v>0</v>
      </c>
      <c r="L19" s="2">
        <v>3892.87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modelo</vt:lpstr>
      <vt:lpstr>base</vt:lpstr>
      <vt:lpstr>Plan1</vt:lpstr>
      <vt:lpstr>modelo2</vt:lpstr>
      <vt:lpstr>mapa cnab</vt:lpstr>
      <vt:lpstr>Planilha2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Casa</dc:creator>
  <cp:lastModifiedBy>Referencia</cp:lastModifiedBy>
  <dcterms:created xsi:type="dcterms:W3CDTF">2020-08-09T14:06:15Z</dcterms:created>
  <dcterms:modified xsi:type="dcterms:W3CDTF">2020-08-28T16:43:45Z</dcterms:modified>
</cp:coreProperties>
</file>