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EstaPasta_de_trabalho" defaultThemeVersion="124226"/>
  <bookViews>
    <workbookView xWindow="0" yWindow="0" windowWidth="20490" windowHeight="9045" firstSheet="2" activeTab="2"/>
  </bookViews>
  <sheets>
    <sheet name="UPDATE_SETTINGS" sheetId="2" state="veryHidden" r:id="rId1"/>
    <sheet name="base1" sheetId="5" r:id="rId2"/>
    <sheet name="base" sheetId="7" r:id="rId3"/>
    <sheet name="Plan1" sheetId="8" r:id="rId4"/>
    <sheet name="acesso" sheetId="6" r:id="rId5"/>
  </sheets>
  <externalReferences>
    <externalReference r:id="rId6"/>
  </externalReferences>
  <definedNames>
    <definedName name="_xlnm._FilterDatabase" localSheetId="2" hidden="1">base!$A$1:$A$42</definedName>
    <definedName name="_xlnm._FilterDatabase" localSheetId="1" hidden="1">base1!$A$1:$L$1</definedName>
    <definedName name="PLACA">[1]disponibilidade!$A$3:$A$14</definedName>
  </definedNames>
  <calcPr calcId="152511"/>
  <extLst>
    <ext xmlns:x14="http://schemas.microsoft.com/office/spreadsheetml/2009/9/main" uri="{8193D73E-4604-4355-AFF4-8A2333D13BE4}">
      <x14:definedNames>
        <x14:definedName name="GetElementById">
          <x14:argumentDescriptions count="3">
            <x14:argumentDescription index="0">The URL of the HTML page to scrape</x14:argumentDescription>
            <x14:argumentDescription index="1">The id of the HTML element to scrape</x14:argumentDescription>
            <x14:argumentDescription index="2">Sets this formula to Volatile. Will cause the formula to refresh if any cell is changed on the sheet. Do not be careless with this! Default: False</x14:argumentDescription>
          </x14:argumentDescriptions>
        </x14:definedName>
        <x14:definedName name="GetElementByName">
          <x14:argumentDescriptions count="4">
            <x14:argumentDescription index="0">The URL of the HTML page to scrape</x14:argumentDescription>
            <x14:argumentDescription index="1">The name of the HTML element to scrape</x14:argumentDescription>
            <x14:argumentDescription index="2">If more than one match is found the index can be specified. Default: 0</x14:argumentDescription>
            <x14:argumentDescription index="3">Sets this formula to Volatile. Will cause the formula to refresh if any cell is changed on the sheet. Do not be careless with this! Default: False</x14:argumentDescription>
          </x14:argumentDescriptions>
        </x14:definedName>
        <x14:definedName name="GetElementByRegex">
          <x14:argumentDescriptions count="5">
            <x14:argumentDescription index="0">The URL of the HTML page to scrape</x14:argumentDescription>
            <x14:argumentDescription index="1">A regular expression with 1 capture group '()'</x14:argumentDescription>
            <x14:argumentDescription index="2">If more than one match is found the index can be specified. Default: 0</x14:argumentDescription>
            <x14:argumentDescription index="3">Sets this formula to Volatile. Will cause the formula to refresh if any cell is changed on the sheet. Do not be careless with this! Default: False</x14:argumentDescription>
            <x14:argumentDescription index="4">If true then the output will be somewhat minified (removed scripts, comments and newlines in the head). Default: False</x14:argumentDescription>
          </x14:argumentDescriptions>
        </x14:definedName>
        <x14:definedName name="GetElementByTagName">
          <x14:argumentDescriptions count="4">
            <x14:argumentDescription index="0">The URL of the HTML page to scrape</x14:argumentDescription>
            <x14:argumentDescription index="1">The name of the HTML element to scrape</x14:argumentDescription>
            <x14:argumentDescription index="2">If more than one match is found the index can be specified. Default: 0</x14:argumentDescription>
            <x14:argumentDescription index="3">Sets this formula to Volatile. Will cause the formula to refresh if any cell is changed on the sheet. Do not be careless with this! Default: False</x14:argumentDescription>
          </x14:argumentDescriptions>
        </x14:definedName>
        <x14:definedName name="GetElementTextByTagName">
          <x14:argumentDescriptions count="4">
            <x14:argumentDescription index="0">The URL of the HTML page to scrape</x14:argumentDescription>
            <x14:argumentDescription index="1">The name of the HTML element to scrape</x14:argumentDescription>
            <x14:argumentDescription index="2">If more than one match is found the index can be specified. Default: 0</x14:argumentDescription>
            <x14:argumentDescription index="3">Sets this formula to Volatile. Will cause the formula to refresh if any cell is changed on the sheet. Do not be careless with this! Default: False</x14:argumentDescription>
          </x14:argumentDescriptions>
        </x14:definedName>
        <x14:definedName name="GetRegex">
          <x14:argumentDescriptions count="3">
            <x14:argumentDescription index="0">The source string in which the regex is to be found</x14:argumentDescription>
            <x14:argumentDescription index="1">A regular expression with 1 capture group '()'</x14:argumentDescription>
            <x14:argumentDescription index="2">If more than one match is found the index can be specified. Default: 0</x14:argumentDescription>
          </x14:argumentDescriptions>
        </x14:definedName>
        <x14:definedName name="RegexReplace">
          <x14:argumentDescriptions count="3">
            <x14:argumentDescription index="0">The source string in which the patterns are to be replaced</x14:argumentDescription>
            <x14:argumentDescription index="1">A regular expression with 1 capture group '()'</x14:argumentDescription>
            <x14:argumentDescription index="2">Replace all found matches with this string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A1" i="7" l="1"/>
  <c r="L203" i="5" l="1"/>
</calcChain>
</file>

<file path=xl/sharedStrings.xml><?xml version="1.0" encoding="utf-8"?>
<sst xmlns="http://schemas.openxmlformats.org/spreadsheetml/2006/main" count="646" uniqueCount="239">
  <si>
    <t>Plan1</t>
  </si>
  <si>
    <t>JOS PEREIRA</t>
  </si>
  <si>
    <t>rseverino</t>
  </si>
  <si>
    <t>benicio17</t>
  </si>
  <si>
    <t>usuario</t>
  </si>
  <si>
    <t>senha</t>
  </si>
  <si>
    <t>eder.ferraz</t>
  </si>
  <si>
    <t>Combustível:</t>
  </si>
  <si>
    <t>serede.402426</t>
  </si>
  <si>
    <t>chamado</t>
  </si>
  <si>
    <t>resumo</t>
  </si>
  <si>
    <t>abertura</t>
  </si>
  <si>
    <t xml:space="preserve">_x000D_
SINTESE INDUSTRIA NF20122 - BA </t>
  </si>
  <si>
    <t>21/03/2019 15:13</t>
  </si>
  <si>
    <t>_x000D_
AGUARDANDO CORREÇÃO LOGÍSTICA - CP</t>
  </si>
  <si>
    <t xml:space="preserve">_x000D_
CASA PRONTA NF14079 </t>
  </si>
  <si>
    <t>22/03/2019 08:51</t>
  </si>
  <si>
    <t>_x000D_
ANDERSON GOMES DE SOUZA</t>
  </si>
  <si>
    <t>_x000D_
LOGÍSTICA - CP</t>
  </si>
  <si>
    <t>_x000D_
RECEBIMENTO DE MATERIAIS</t>
  </si>
  <si>
    <t>_x000D_
_x000D_
_x000D_
_x000D_
1_x000D_
_x000D_
_x000D_
2_x000D_
_x000D_
_x000D_
3_x000D_
_x000D_
_x000D_
4_x000D_
_x000D_
_x000D_
5</t>
  </si>
  <si>
    <t>-</t>
  </si>
  <si>
    <t>_x000D_
AGUARDANDO MIGO</t>
  </si>
  <si>
    <t>_x000D_
RECEBIMENTO DE MATERIAIS - 2183 3 PODERES COMERCIAL DE FERRAMENTAS</t>
  </si>
  <si>
    <t>14/03/2019 15:52</t>
  </si>
  <si>
    <t>_x000D_
INGRID DE CASTRO SOUSA</t>
  </si>
  <si>
    <t>_x000D_
3 PODERES COMERCIAL DE FERRAMENTAS NF 1932</t>
  </si>
  <si>
    <t>_x000D_
GABRIELLA GARCIA DE MAGALHAES</t>
  </si>
  <si>
    <t xml:space="preserve">_x000D_
SLYN TELECOMUNICACAO E INFORMATICA NF13297 - SE </t>
  </si>
  <si>
    <t>20/03/2019 20:41</t>
  </si>
  <si>
    <t>_x000D_
MILENA BORGES DUTRA VARGAS</t>
  </si>
  <si>
    <t>_x000D_
AGUARDANDO ENTREGA - PR</t>
  </si>
  <si>
    <t>_x000D_
WALTER RENAN DO NASCIMENTO DE MELO</t>
  </si>
  <si>
    <t>_x000D_
LOGÍSTICA - PR</t>
  </si>
  <si>
    <t>_x000D_
RAFAEL TORRELIO PEREIRA</t>
  </si>
  <si>
    <t>_x000D_
RAIMUNDO ALZIER NOGUEIRA NETO</t>
  </si>
  <si>
    <t>_x000D_
AGUARDANDO APROVAÇÃO/LIBERAÇÃO DO PEDIDO</t>
  </si>
  <si>
    <t>_x000D_
RAYNNER BRAGA ARARIPE</t>
  </si>
  <si>
    <t>_x000D_
GAMAC INDUSTRIA NF3951</t>
  </si>
  <si>
    <t>15/03/2019 17:56</t>
  </si>
  <si>
    <t>_x000D_
_x000D_
_x000D_
_x000D_
_x000D_
  _x000D_
  _x000D_
  _x000D_
   1-48/48_x000D_
Nenhum Filtro SelecionadoVisualizar ImpressãoSelecionar TodosSelecionar NenhumInverter SeleçãoSomente SelecionadosSomente Não SelecionadosSalvar Lista de ChamadosExcluir Lista de Chamados_x000D_
_x000D_
 _x000D_
_x000D_
_x000D_
_x000D_
Chamado_x000D_
_x000D_
_x000D_
_x000D_
Situação_x000D_
_x000D_
_x000D_
Resumo_x000D_
_x000D_
Abertura_x000D_
_x000D_
Movimentação_x000D_
_x000D_
_x000D_
Solicitante_x000D_
_x000D_
_x000D_
Atribuído_x000D_
_x000D_
_x000D_
Classificação_x000D_
_x000D_
Prioridade_x000D_
_x000D_
SLA Solução_x000D_
_x000D_
Limite_x000D_
_x000D_
738481_x000D_
_x000D_
AGUARDANDO APROVAÇÃO/LIBERAÇÃO DO PEDIDO_x000D_
_x000D_
_x000D_
SINTESE INDUSTRIA NF20122 - BA _x000D_
21/03/2019 15:1309/04/2019 10:19_x000D_
_x000D_
MILENA BORGES DUTRA VARGAS_x000D_
_x000D_
_x000D_
RAYNNER BRAGA ARARIPE_x000D_
_x000D_
_x000D_
RECEBIMENTO DE MATERIAIS_x000D_
_x000D_
_x000D_
_x000D_
_x000D_
1_x000D_
_x000D_
_x000D_
2_x000D_
_x000D_
_x000D_
3_x000D_
_x000D_
_x000D_
4_x000D_
_x000D_
_x000D_
5_x000D_
-_x000D_
732448_x000D_
_x000D_
AGUARDANDO CORREÇÃO LOGÍSTICA - CP_x000D_
_x000D_
_x000D_
GAMAC INDUSTRIA NF3951_x000D_
15/03/2019 17:5608/04/2019 17:15_x000D_
_x000D_
ANDERSON GOMES DE SOUZA_x000D_
_x000D_
_x000D_
LOGÍSTICA - CP_x000D_
_x000D_
_x000D_
RECEBIMENTO DE MATERIAIS_x000D_
-_x000D_
739095_x000D_
_x000D_
AGUARDANDO CORREÇÃO LOGÍSTICA - CP_x000D_
_x000D_
_x000D_
CASA PRONTA NF14079 _x000D_
22/03/2019 08:5108/04/2019 17:12_x000D_
_x000D_
ANDERSON GOMES DE SOUZA_x000D_
_x000D_
_x000D_
LOGÍSTICA - CP_x000D_
_x000D_
_x000D_
RECEBIMENTO DE MATERIAIS_x000D_
_x000D_
_x000D_
_x000D_
_x000D_
1_x000D_
_x000D_
_x000D_
2_x000D_
_x000D_
_x000D_
3_x000D_
_x000D_
_x000D_
4_x000D_
_x000D_
_x000D_
5_x000D_
-_x000D_
730976_x000D_
_x000D_
AGUARDANDO MIGO_x000D_
_x000D_
_x000D_
RECEBIMENTO DE MATERIAIS - 2183 3 PODERES COMERCIAL DE FERRAMENTAS_x000D_
14/03/2019 15:5208/04/2019 15:04_x000D_
_x000D_
INGRID DE CASTRO SOUSA_x000D_
_x000D_
_x000D_
LOGÍSTICA - CP_x000D_
_x000D_
_x000D_
RECEBIMENTO DE MATERIAIS_x000D_
_x000D_
_x000D_
_x000D_
_x000D_
1_x000D_
_x000D_
_x000D_
2_x000D_
_x000D_
_x000D_
3_x000D_
_x000D_
_x000D_
4_x000D_
_x000D_
_x000D_
5_x000D_
-_x000D_
750389_x000D_
_x000D_
AGUARDANDO CORREÇÃO LOGÍSTICA - CP_x000D_
_x000D_
_x000D_
3 PODERES COMERCIAL DE FERRAMENTAS NF 1932_x000D_
02/04/2019 17:5508/04/2019 14:53_x000D_
_x000D_
GABRIELLA GARCIA DE MAGALHAES_x000D_
_x000D_
_x000D_
LOGÍSTICA - CP_x000D_
_x000D_
_x000D_
RECEBIMENTO DE MATERIAIS_x000D_
_x000D_
_x000D_
_x000D_
_x000D_
1_x000D_
_x000D_
_x000D_
2_x000D_
_x000D_
_x000D_
3_x000D_
_x000D_
_x000D_
4_x000D_
_x000D_
_x000D_
5_x000D_
-_x000D_
737489_x000D_
_x000D_
AGUARDANDO MIGO_x000D_
_x000D_
_x000D_
SLYN TELECOMUNICACAO E INFORMATICA NF13297 - SE _x000D_
20/03/2019 20:4108/04/2019 10:18_x000D_
_x000D_
MILENA BORGES DUTRA VARGAS_x000D_
_x000D_
_x000D_
LOGÍSTICA - CP_x000D_
_x000D_
_x000D_
RECEBIMENTO DE MATERIAIS_x000D_
_x000D_
_x000D_
_x000D_
_x000D_
1_x000D_
_x000D_
_x000D_
2_x000D_
_x000D_
_x000D_
3_x000D_
_x000D_
_x000D_
4_x000D_
_x000D_
_x000D_
5_x000D_
-_x000D_
728139_x000D_
_x000D_
AGUARDANDO MIGO_x000D_
_x000D_
_x000D_
3 PODERES COMERCIAL DE FERRAMENTAS LTDA_NF 2201-1_x000D_
12/03/2019 14:2408/04/2019 09:30_x000D_
_x000D_
RAFAEL TORRELIO PEREIRA_x000D_
_x000D_
_x000D_
LOGÍSTICA - CP_x000D_
_x000D_
_x000D_
RECEBIMENTO DE MATERIAIS_x000D_
-_x000D_
714510_x000D_
_x000D_
AGUARDANDO MIGO_x000D_
_x000D_
_x000D_
RECEBIMENTO DE MATERIAIS - 112 IMPACT SOLUCAO EM FERRAMENTAL E EPI_x000D_
23/02/2019 14:0308/04/2019 08:28_x000D_
_x000D_
INGRID DE CASTRO SOUSA_x000D_
_x000D_
_x000D_
LOGÍSTICA - CP_x000D_
_x000D_
_x000D_
RECEBIMENTO DE MATERIAIS_x000D_
-_x000D_
728714_x000D_
_x000D_
AGUARDANDO MIGO_x000D_
_x000D_
_x000D_
RECEBIMENTO DE MATERIAIS - 76056 INDUSTRIA E COMERCIO LEAL LTDA_x000D_
12/03/2019 22:2106/04/2019 09:57_x000D_
_x000D_
INGRID DE CASTRO SOUSA_x000D_
_x000D_
_x000D_
LOGÍSTICA - CP_x000D_
_x000D_
_x000D_
RECEBIMENTO DE MATERIAIS_x000D_
-_x000D_
691411_x000D_
_x000D_
AGUARDANDO MIGO_x000D_
_x000D_
_x000D_
RECEBIMENTO DE MATERIAIS - 15192 DK MATERIAIS DE CONSTRUCAO LTDA ME_x000D_
30/01/2019 10:2606/04/2019 09:05_x000D_
_x000D_
INGRID DE CASTRO SOUSA_x000D_
_x000D_
_x000D_
LOGÍSTICA - CP_x000D_
_x000D_
_x000D_
RECEBIMENTO DE MATERIAIS_x000D_
_x000D_
_x000D_
_x000D_
_x000D_
1_x000D_
_x000D_
_x000D_
2_x000D_
_x000D_
_x000D_
3_x000D_
_x000D_
_x000D_
4_x000D_
_x000D_
_x000D_
5_x000D_
-_x000D_
689806_x000D_
_x000D_
AGUARDANDO MIGO_x000D_
_x000D_
_x000D_
RECEBIMENTO DE MATERIAIS - 15120 DK MATERIAIS DE CONSTRUCAO LTDA ME_x000D_
28/01/2019 15:4906/04/2019 09:03_x000D_
_x000D_
INGRID DE CASTRO SOUSA_x000D_
_x000D_
_x000D_
LOGÍSTICA - CP_x000D_
_x000D_
_x000D_
RECEBIMENTO DE MATERIAIS_x000D_
_x000D_
_x000D_
_x000D_
_x000D_
1_x000D_
_x000D_
_x000D_
2_x000D_
_x000D_
_x000D_
3_x000D_
_x000D_
_x000D_
4_x000D_
_x000D_
_x000D_
5_x000D_
-_x000D_
689468_x000D_
_x000D_
AGUARDANDO MIGO_x000D_
_x000D_
_x000D_
RECEBIMENTO DE MATERIAIS - 14418 DK MATERIAIS DE CONSTRUCAO LTDA ME_x000D_
28/01/2019 12:0606/04/2019 09:03_x000D_
_x000D_
INGRID DE CASTRO SOUSA_x000D_
_x000D_
_x000D_
LOGÍSTICA - CP_x000D_
_x000D_
_x000D_
RECEBIMENTO DE MATERIAIS_x000D_
_x000D_
_x000D_
_x000D_
_x000D_
1_x000D_
_x000D_
_x000D_
2_x000D_
_x000D_
_x000D_
3_x000D_
_x000D_
_x000D_
4_x000D_
_x000D_
_x000D_
5_x000D_
-_x000D_
733164_x000D_
_x000D_
AGUARDANDO APROVAÇÃO/LIBERAÇÃO DO PEDIDO_x000D_
_x000D_
_x000D_
3 PODERES NF 2117 - AM _x000D_
18/03/2019 10:0505/04/2019 18:02_x000D_
_x000D_
MILENA BORGES DUTRA VARGAS_x000D_
_x000D_
_x000D_
JOACY NASCIMENTO DOS SANTOS_x000D_
_x000D_
_x000D_
RECEBIMENTO DE MATERIAIS_x000D_
_x000D_
_x000D_
_x000D_
_x000D_
1_x000D_
_x000D_
_x000D_
2_x000D_
_x000D_
_x000D_
3_x000D_
_x000D_
_x000D_
4_x000D_
_x000D_
_x000D_
5_x000D_
-_x000D_
737200_x000D_
_x000D_
AGUARDANDO MIGO_x000D_
_x000D_
_x000D_
CASA PRONTA NF14082 PA_x000D_
20/03/2019 17:4205/04/2019 17:56_x000D_
_x000D_
ANDERSON GOMES DE SOUZA_x000D_
_x000D_
_x000D_
LOGÍSTICA - CP_x000D_
_x000D_
_x000D_
RECEBIMENTO DE MATERIAIS_x000D_
-_x000D_
745341_x000D_
_x000D_
AGUARDANDO APROVAÇÃO/LIBERAÇÃO DO PEDIDO_x000D_
_x000D_
_x000D_
3 PODERES NF2296 - BA _x000D_
28/03/2019 14:2405/04/2019 11:31_x000D_
_x000D_
MILENA BORGES DUTRA VARGAS_x000D_
_x000D_
_x000D_
JOACY NASCIMENTO DOS SANTOS_x000D_
_x000D_
_x000D_
RECEBIMENTO DE MATERIAIS_x000D_
-_x000D_
745374_x000D_
_x000D_
AGUARDANDO APROVAÇÃO/LIBERAÇÃO DO PEDIDO_x000D_
_x000D_
_x000D_
3 PODERES NF 2311 - BA _x000D_
28/03/2019 14:3905/04/2019 11:29_x000D_
_x000D_
MILENA BORGES DUTRA VARGAS_x000D_
_x000D_
_x000D_
JOACY NASCIMENTO DOS SANTOS_x000D_
_x000D_
_x000D_
RECEBIMENTO DE MATERIAIS_x000D_
-_x000D_
728167_x000D_
_x000D_
AGUARDANDO CORREÇÃO LOGÍSTICA - CP_x000D_
_x000D_
_x000D_
RECEBIMENTO DE MATERIAIS - 2152 3 PODERES COMERCIAL DE FERRAMENTAS_x000D_
12/03/2019 14:3904/04/2019 15:58_x000D_
_x000D_
INGRID DE CASTRO SOUSA_x000D_
_x000D_
_x000D_
LOGÍSTICA - CP_x000D_
_x000D_
_x000D_
RECEBIMENTO DE MATERIAIS_x000D_
-_x000D_
740043_x000D_
_x000D_
AGUARDANDO MIGO_x000D_
_x000D_
_x000D_
CASA PRONTA NF14113 BA_x000D_
22/03/2019 19:0804/04/2019 15:16_x000D_
_x000D_
ANDERSON GOMES DE SOUZA_x000D_
_x000D_
_x000D_
LOGÍSTICA - CP_x000D_
_x000D_
_x000D_
RECEBIMENTO DE MATERIAIS_x000D_
-_x000D_
666250_x000D_
_x000D_
AGUARDANDO MIGO_x000D_
_x000D_
_x000D_
RECEBIMENTO DE MATERIAIS - 37000 REFRIGELO CLIMATIZAÇÃO DE AMBIENTES_x000D_
27/12/2018 13:3604/04/2019 14:13_x000D_
_x000D_
INGRID DE CASTRO SOUSA_x000D_
_x000D_
_x000D_
LOGÍSTICA - CP_x000D_
_x000D_
_x000D_
RECEBIMENTO DE MATERIAIS_x000D_
-_x000D_
709292_x000D_
_x000D_
AGUARDANDO CORREÇÃO LOGÍSTICA - CP_x000D_
_x000D_
_x000D_
RECEBIMENTO DE MATERIAIS - 2044 3 PODERES COMERCIAL DE FERRAMENTAS_x000D_
18/02/2019 15:2204/04/2019 12:02_x000D_
_x000D_
INGRID DE CASTRO SOUSA_x000D_
_x000D_
_x000D_
LOGÍSTICA - CP_x000D_
_x000D_
_x000D_
RECEBIMENTO DE MATERIAIS_x000D_
-_x000D_
587172_x000D_
_x000D_
AGUARDANDO CORREÇÃO LOGÍSTICA - CP_x000D_
_x000D_
_x000D_
RECEBIMENTO DE MATERIAIS - 11 IMPACT _x000D_
03/07/2018 14:2904/04/2019 11:54_x000D_
_x000D_
RAIMUNDO ALZIER NOGUEIRA NETO_x000D_
_x000D_
_x000D_
RAYNNER BRAGA ARARIPE_x000D_
_x000D_
_x000D_
RECEBIMENTO DE MATERIAIS_x000D_
-_x000D_
737374_x000D_
_x000D_
AGUARDANDO MIGO_x000D_
_x000D_
_x000D_
MAXXLATINA DISTRIBUIDORA NF2264 PA_x000D_
20/03/2019 18:2404/04/2019 11:54_x000D_
_x000D_
ANDERSON GOMES DE SOUZA_x000D_
_x000D_
_x000D_
LOGÍSTICA - CP_x000D_
_x000D_
_x000D_
RECEBIMENTO DE MATERIAIS_x000D_
-_x000D_
716083_x000D_
_x000D_
AGUARDANDO MIGO_x000D_
_x000D_
_x000D_
RECEBIMENTO DE MATERIAIS - 670 ESTRUTURA COMERCIAL DE FERRAMENTAS_x000D_
26/02/2019 08:4104/04/2019 11:46_x000D_
_x000D_
INGRID DE CASTRO SOUSA_x000D_
_x000D_
_x000D_
LOGÍSTICA - CP_x000D_
_x000D_
_x000D_
RECEBIMENTO DE MATERIAIS_x000D_
-_x000D_
744844_x000D_
_x000D_
AGUARDANDO MIGO_x000D_
_x000D_
_x000D_
3 PODERES COMERCIAL DE FERRAMENTAS LTDA EPP_ NF 2294-1_x000D_
28/03/2019 09:2504/04/2019 11:41_x000D_
_x000D_
BRUNA AUGUSTO IGNEZ PEREIRA_x000D_
_x000D_
_x000D_
LOGÍSTICA - CP_x000D_
_x000D_
_x000D_
RECEBIMENTO DE MATERIAIS_x000D_
-_x000D_
719831_x000D_
_x000D_
AGUARDANDO CORREÇÃO LOGÍSTICA - CP_x000D_
_x000D_
_x000D_
RECEBIMENTO DE MATERIAIS - 2115 3 PODERES COMERCIAL DE FERRAMENTAS_x000D_
01/03/2019 11:5604/04/2019 11:09_x000D_
_x000D_
INGRID DE CASTRO SOUSA_x000D_
_x000D_
_x000D_
RAYNNER BRAGA ARARIPE_x000D_
_x000D_
_x000D_
RECEBIMENTO DE MATERIAIS_x000D_
-_x000D_
699350_x000D_
_x000D_
AGUARDANDO MIGO_x000D_
_x000D_
_x000D_
RECEBIMENTO DE MATERIAIS - 666 ESTRUTURA COMERCIAL_x000D_
07/02/2019 14:2304/04/2019 10:50_x000D_
_x000D_
INGRID DE CASTRO SOUSA_x000D_
_x000D_
_x000D_
LOGÍSTICA - CP_x000D_
_x000D_
_x000D_
RECEBIMENTO DE MATERIAIS_x000D_
-_x000D_
728094_x000D_
_x000D_
AGUARDANDO MIGO_x000D_
_x000D_
_x000D_
SP COMERCIO NF3528 RN_x000D_
12/03/2019 14:0304/04/2019 10:41_x000D_
_x000D_
ANDERSON GOMES DE SOUZA_x000D_
_x000D_
_x000D_
LOGÍSTICA - CP_x000D_
_x000D_
_x000D_
RECEBIMENTO DE MATERIAIS_x000D_
-_x000D_
736903_x000D_
_x000D_
AGUARDANDO MIGO_x000D_
_x000D_
_x000D_
ZENDHERS NF413_x000D_
20/03/2019 15:4304/04/2019 09:31_x000D_
_x000D_
ANDERSON GOMES DE SOUZA_x000D_
_x000D_
_x000D_
LOGÍSTICA - CP_x000D_
_x000D_
_x000D_
RECEBIMENTO DE MATERIAIS_x000D_
-_x000D_
736133_x000D_
_x000D_
AGUARDANDO MIGO_x000D_
_x000D_
_x000D_
ZENDHERS ARTES GRAFICA EIRELI ME NF 383-1_x000D_
20/03/2019 09:2304/04/2019 09:30_x000D_
_x000D_
WALTER RENAN DO NASCIMENTO DE MELO_x000D_
_x000D_
_x000D_
LOGÍSTICA - CP_x000D_
_x000D_
_x000D_
RECEBIMENTO DE MATERIAIS_x000D_
-_x000D_
726835_x000D_
_x000D_
AGUARDANDO MIGO_x000D_
_x000D_
_x000D_
RECEBIMENTO DE MATERIAIS - 19976 SINTESE INDUSTRIA E COMERCIO LTDA_x000D_
11/03/2019 16:3104/04/2019 08:51_x000D_
_x000D_
INGRID DE CASTRO SOUSA_x000D_
_x000D_
_x000D_
LOGÍSTICA - CP_x000D_
_x000D_
_x000D_
RECEBIMENTO DE MATERIAIS_x000D_
-_x000D_
714733_x000D_
_x000D_
AGUARDANDO CORREÇÃO LOGÍSTICA - CP_x000D_
_x000D_
_x000D_
RECEBIMENTO DE MATERIAIS - 671 ESTRUTURA COMERCIAL DE FERRAMENTAS_x000D_
25/02/2019 08:3503/04/2019 20:21_x000D_
_x000D_
INGRID DE CASTRO SOUSA_x000D_
_x000D_
_x000D_
RAYNNER BRAGA ARARIPE_x000D_
_x000D_
_x000D_
RECEBIMENTO DE MATERIAIS_x000D_
-_x000D_
714830_x000D_
_x000D_
AGUARDANDO CORREÇÃO LOGÍSTICA - CP_x000D_
_x000D_
_x000D_
RECEBIMENTO DE MATERIAIS - 75731 INDUSTRIA E COMERCIO LEAL LTDA_x000D_
25/02/2019 09:0403/04/2019 20:11_x000D_
_x000D_
INGRID DE CASTRO SOUSA_x000D_
_x000D_
_x000D_
LOGÍSTICA - CP_x000D_
_x000D_
_x000D_
RECEBIMENTO DE MATERIAIS_x000D_
-_x000D_
709103_x000D_
_x000D_
AGUARDANDO CORREÇÃO LOGÍSTICA - CP_x000D_
_x000D_
_x000D_
RECEBIMENTO DE MATERIAIS - 2049 3 PODERES COMERCIAL DE FERRAMENTAS_x000D_
18/02/2019 14:0303/04/2019 18:39_x000D_
_x000D_
INGRID DE CASTRO SOUSA_x000D_
_x000D_
_x000D_
JOACY NASCIMENTO DOS SANTOS_x000D_
_x000D_
_x000D_
RECEBIMENTO DE MATERIAIS_x000D_
-_x000D_
728964_x000D_
_x000D_
AGUARDANDO CORREÇÃO LOGÍSTICA - CP_x000D_
_x000D_
_x000D_
INDUSTRIA E COMERCIO LEAL NF76310 PE_x000D_
13/03/2019 08:5703/04/2019 17:25_x000D_
_x000D_
ANDERSON GOMES DE SOUZA_x000D_
_x000D_
_x000D_
LOGÍSTICA - CP_x000D_
_x000D_
_x000D_
RECEBIMENTO DE MATERIAIS_x000D_
-_x000D_
626400_x000D_
_x000D_
AGUARDANDO CORREÇÃO LOGÍSTICA - CP_x000D_
_x000D_
_x000D_
RECEBIMENTO DE MATERIAIS - 643 ESTRUTURA COMERCIAL_x000D_
30/10/2018 14:5803/04/2019 16:18_x000D_
_x000D_
INGRID DE CASTRO SOUSA_x000D_
_x000D_
_x000D_
LOGÍSTICA - CP_x000D_
_x000D_
_x000D_
RECEBIMENTO DE MATERIAIS_x000D_
-_x000D_
607246_x000D_
_x000D_
AGUARDANDO CORREÇÃO LOGÍSTICA - CP_x000D_
_x000D_
_x000D_
RECEBIMENTO DE MATERIAIS - 58 MPACT SOLUCAO EM FERRAMENTAL E EPI_x000D_
19/09/2018 15:3303/04/2019 16:15_x000D_
_x000D_
INGRID DE CASTRO SOUSA_x000D_
_x000D_
_x000D_
LOGÍSTICA - CP_x000D_
_x000D_
_x000D_
RECEBIMENTO DE MATERIAIS_x000D_
-_x000D_
719564_x000D_
_x000D_
AGUARDANDO CORREÇÃO LOGÍSTICA - CP_x000D_
_x000D_
_x000D_
3 PODERES 2124_x000D_
01/03/2019 09:1803/04/2019 15:54_x000D_
_x000D_
ANDERSON GOMES DE SOUZA_x000D_
_x000D_
_x000D_
LOGÍSTICA - CP_x000D_
_x000D_
_x000D_
RECEBIMENTO DE MATERIAIS_x000D_
-_x000D_
717514_x000D_
_x000D_
AGUARDANDO CORREÇÃO LOGÍSTICA - CP_x000D_
_x000D_
_x000D_
3 PODERES COMERCIAL NF2100_x000D_
27/02/2019 10:5203/04/2019 15:50_x000D_
_x000D_
ANDERSON GOMES DE SOUZA_x000D_
_x000D_
_x000D_
LOGÍSTICA - CP_x000D_
_x000D_
_x000D_
RECEBIMENTO DE MATERIAIS_x000D_
-_x000D_
731164_x000D_
_x000D_
AGUARDANDO CORREÇÃO LOGÍSTICA - CP_x000D_
_x000D_
_x000D_
3 PODERES COMERCIAL DE FERRAMENTAS NF 2204_x000D_
14/03/2019 17:1003/04/2019 15:49_x000D_
_x000D_
GABRIELLA GARCIA DE MAGALHAES_x000D_
_x000D_
_x000D_
LOGÍSTICA - CP_x000D_
_x000D_
_x000D_
RECEBIMENTO DE MATERIAIS_x000D_
-_x000D_
750065_x000D_
_x000D_
AGUARDANDO ENTREGA - CP_x000D_
_x000D_
_x000D_
MATRIX NF3958_x000D_
02/04/2019 15:4702/04/2019 15:52_x000D_
_x000D_
ANDERSON GOMES DE SOUZA_x000D_
_x000D_
_x000D_
LOGÍSTICA - CP_x000D_
_x000D_
_x000D_
RECEBIMENTO DE MATERIAIS_x000D_
-_x000D_
746281_x000D_
_x000D_
AGUARDANDO ENTREGA - CP_x000D_
_x000D_
_x000D_
HARDLINK NF2036 CE - CP_x000D_
29/03/2019 12:0929/03/2019 14:04_x000D_
_x000D_
FABRINA VIEIRA GOMES_x000D_
_x000D_
_x000D_
LOGÍSTICA - CP_x000D_
_x000D_
_x000D_
RECEBIMENTO DE MATERIAIS_x000D_
-_x000D_
727872_x000D_
_x000D_
AGUARDANDO APROVAÇÃO/LIBERAÇÃO DO PEDIDO_x000D_
_x000D_
_x000D_
RECEBIMENTO DE MATERIAIS - 2133 3 PODERES COMERCIAL DE FERRAMENTAS_x000D_
12/03/2019 11:3417/03/2019 09:09_x000D_
_x000D_
INGRID DE CASTRO SOUSA_x000D_
_x000D_
_x000D_
JOACY NASCIMENTO DOS SANTOS_x000D_
_x000D_
_x000D_
RECEBIMENTO DE MATERIAIS_x000D_
-_x000D_
727787_x000D_
_x000D_
AGUARDANDO APROVAÇÃO/LIBERAÇÃO DO PEDIDO_x000D_
_x000D_
_x000D_
RECEBIMENTO DE MATERIAIS - 2126 3 PODERES COMERCIAL DE FERRAMENTAS_x000D_
12/03/2019 10:5717/03/2019 09:08_x000D_
_x000D_
INGRID DE CASTRO SOUSA_x000D_
_x000D_
_x000D_
JOACY NASCIMENTO DOS SANTOS_x000D_
_x000D_
_x000D_
RECEBIMENTO DE MATERIAIS_x000D_
-_x000D_
719764_x000D_
_x000D_
AGUARDANDO APROVAÇÃO/LIBERAÇÃO DO PEDIDO_x000D_
_x000D_
_x000D_
RECEBIMENTO DE MATERIAIS - 2114 3 PODERES COMERCIAL DE FERRAMENTAS_x000D_
01/03/2019 11:1617/03/2019 08:24_x000D_
_x000D_
INGRID DE CASTRO SOUSA_x000D_
_x000D_
_x000D_
JOACY NASCIMENTO DOS SANTOS_x000D_
_x000D_
_x000D_
RECEBIMENTO DE MATERIAIS_x000D_
-_x000D_
624085_x000D_
_x000D_
AGUARDANDO CORREÇÃO LOGÍSTICA - CP_x000D_
_x000D_
_x000D_
RECEBIMENTO DE MATERIAIS - 631 ESTRUTURA COMERCIAL_x000D_
24/10/2018 17:0412/02/2019 16:57_x000D_
_x000D_
INGRID DE CASTRO SOUSA_x000D_
_x000D_
_x000D_
LOGÍSTICA - CP_x000D_
_x000D_
_x000D_
RECEBIMENTO DE MATERIAIS_x000D_
-_x000D_
620111_x000D_
_x000D_
AGUARDANDO CORREÇÃO LOGÍSTICA - CP_x000D_
_x000D_
_x000D_
RECEBIMENTO DE MATERIAIS - 620 ESTRUTURA COMERCIAL_x000D_
17/10/2018 12:1712/02/2019 16:54_x000D_
_x000D_
INGRID DE CASTRO SOUSA_x000D_
_x000D_
_x000D_
LOGÍSTICA - CP_x000D_
_x000D_
_x000D_
RECEBIMENTO DE MATERIAIS_x000D_
-_x000D_
640768_x000D_
_x000D_
AGUARDANDO ENTREGA - CP_x000D_
_x000D_
_x000D_
RECEBIMENTO DE MATERIAIS - 28939 EMPLACA AUTOMACAO E TECNOLOGIA LTDA_x000D_
22/11/2018 17:3222/11/2018 17:33_x000D_
_x000D_
INGRID DE CASTRO SOUSA_x000D_
_x000D_
_x000D_
LOGÍSTICA - CP_x000D_
_x000D_
_x000D_
RECEBIMENTO DE MATERIAIS_x000D_
-_x000D_
619844_x000D_
_x000D_
AGUARDANDO ENTREGA - CP_x000D_
_x000D_
_x000D_
RECEBIMENTO DE MATERIAIS - 402207 SODINE SOC._x000D_
17/10/2018 08:5617/10/2018 08:56_x000D_
_x000D_
INGRID DE CASTRO SOUSA_x000D_
_x000D_
_x000D_
LOGÍSTICA - CP_x000D_
_x000D_
_x000D_
RECEBIMENTO DE MATERIAIS_x000D_
-</t>
  </si>
  <si>
    <t>_x000D_
3 PODERES COMERCIAL DE FERRAMENTAS LTDA_NF 2201-1</t>
  </si>
  <si>
    <t>_x000D_
RECEBIMENTO DE MATERIAIS - 112 IMPACT SOLUCAO EM FERRAMENTAL E EPI</t>
  </si>
  <si>
    <t>23/02/2019 14:03</t>
  </si>
  <si>
    <t>_x000D_
RECEBIMENTO DE MATERIAIS - 76056 INDUSTRIA E COMERCIO LEAL LTDA</t>
  </si>
  <si>
    <t>_x000D_
RECEBIMENTO DE MATERIAIS - 15192 DK MATERIAIS DE CONSTRUCAO LTDA ME</t>
  </si>
  <si>
    <t>30/01/2019 10:26</t>
  </si>
  <si>
    <t>_x000D_
RECEBIMENTO DE MATERIAIS - 15120 DK MATERIAIS DE CONSTRUCAO LTDA ME</t>
  </si>
  <si>
    <t>28/01/2019 15:49</t>
  </si>
  <si>
    <t>_x000D_
RECEBIMENTO DE MATERIAIS - 14418 DK MATERIAIS DE CONSTRUCAO LTDA ME</t>
  </si>
  <si>
    <t>28/01/2019 12:06</t>
  </si>
  <si>
    <t xml:space="preserve">_x000D_
3 PODERES NF 2117 - AM </t>
  </si>
  <si>
    <t>18/03/2019 10:05</t>
  </si>
  <si>
    <t>_x000D_
JOACY NASCIMENTO DOS SANTOS</t>
  </si>
  <si>
    <t>_x000D_
CASA PRONTA NF14082 PA</t>
  </si>
  <si>
    <t>20/03/2019 17:42</t>
  </si>
  <si>
    <t xml:space="preserve">_x000D_
3 PODERES NF2296 - BA </t>
  </si>
  <si>
    <t>28/03/2019 14:24</t>
  </si>
  <si>
    <t xml:space="preserve">_x000D_
3 PODERES NF 2311 - BA </t>
  </si>
  <si>
    <t>28/03/2019 14:39</t>
  </si>
  <si>
    <t>_x000D_
RECEBIMENTO DE MATERIAIS - 2152 3 PODERES COMERCIAL DE FERRAMENTAS</t>
  </si>
  <si>
    <t>_x000D_
CASA PRONTA NF14113 BA</t>
  </si>
  <si>
    <t>22/03/2019 19:08</t>
  </si>
  <si>
    <t>_x000D_
RECEBIMENTO DE MATERIAIS - 37000 REFRIGELO CLIMATIZAÇÃO DE AMBIENTES</t>
  </si>
  <si>
    <t>27/12/2018 13:36</t>
  </si>
  <si>
    <t>_x000D_
RECEBIMENTO DE MATERIAIS - 2044 3 PODERES COMERCIAL DE FERRAMENTAS</t>
  </si>
  <si>
    <t>18/02/2019 15:22</t>
  </si>
  <si>
    <t xml:space="preserve">_x000D_
RECEBIMENTO DE MATERIAIS - 11 IMPACT </t>
  </si>
  <si>
    <t>_x000D_
MAXXLATINA DISTRIBUIDORA NF2264 PA</t>
  </si>
  <si>
    <t>20/03/2019 18:24</t>
  </si>
  <si>
    <t>_x000D_
RECEBIMENTO DE MATERIAIS - 670 ESTRUTURA COMERCIAL DE FERRAMENTAS</t>
  </si>
  <si>
    <t>26/02/2019 08:41</t>
  </si>
  <si>
    <t>_x000D_
3 PODERES COMERCIAL DE FERRAMENTAS LTDA EPP_ NF 2294-1</t>
  </si>
  <si>
    <t>28/03/2019 09:25</t>
  </si>
  <si>
    <t>_x000D_
BRUNA AUGUSTO IGNEZ PEREIRA</t>
  </si>
  <si>
    <t>_x000D_
RECEBIMENTO DE MATERIAIS - 2115 3 PODERES COMERCIAL DE FERRAMENTAS</t>
  </si>
  <si>
    <t>_x000D_
RECEBIMENTO DE MATERIAIS - 666 ESTRUTURA COMERCIAL</t>
  </si>
  <si>
    <t>_x000D_
SP COMERCIO NF3528 RN</t>
  </si>
  <si>
    <t>_x000D_
ZENDHERS NF413</t>
  </si>
  <si>
    <t>20/03/2019 15:43</t>
  </si>
  <si>
    <t>_x000D_
ZENDHERS ARTES GRAFICA EIRELI ME NF 383-1</t>
  </si>
  <si>
    <t>20/03/2019 09:23</t>
  </si>
  <si>
    <t>_x000D_
RECEBIMENTO DE MATERIAIS - 19976 SINTESE INDUSTRIA E COMERCIO LTDA</t>
  </si>
  <si>
    <t>_x000D_
RECEBIMENTO DE MATERIAIS - 671 ESTRUTURA COMERCIAL DE FERRAMENTAS</t>
  </si>
  <si>
    <t>25/02/2019 08:35</t>
  </si>
  <si>
    <t>_x000D_
RECEBIMENTO DE MATERIAIS - 75731 INDUSTRIA E COMERCIO LEAL LTDA</t>
  </si>
  <si>
    <t>25/02/2019 09:04</t>
  </si>
  <si>
    <t>_x000D_
RECEBIMENTO DE MATERIAIS - 2049 3 PODERES COMERCIAL DE FERRAMENTAS</t>
  </si>
  <si>
    <t>18/02/2019 14:03</t>
  </si>
  <si>
    <t>_x000D_
INDUSTRIA E COMERCIO LEAL NF76310 PE</t>
  </si>
  <si>
    <t>13/03/2019 08:57</t>
  </si>
  <si>
    <t>_x000D_
RECEBIMENTO DE MATERIAIS - 643 ESTRUTURA COMERCIAL</t>
  </si>
  <si>
    <t>30/10/2018 14:58</t>
  </si>
  <si>
    <t>_x000D_
RECEBIMENTO DE MATERIAIS - 58 MPACT SOLUCAO EM FERRAMENTAL E EPI</t>
  </si>
  <si>
    <t>19/09/2018 15:33</t>
  </si>
  <si>
    <t>_x000D_
3 PODERES 2124</t>
  </si>
  <si>
    <t>_x000D_
3 PODERES COMERCIAL NF2100</t>
  </si>
  <si>
    <t>27/02/2019 10:52</t>
  </si>
  <si>
    <t>_x000D_
3 PODERES COMERCIAL DE FERRAMENTAS NF 2204</t>
  </si>
  <si>
    <t>14/03/2019 17:10</t>
  </si>
  <si>
    <t>_x000D_
AGUARDANDO ENTREGA - CP</t>
  </si>
  <si>
    <t>_x000D_
MATRIX NF3958</t>
  </si>
  <si>
    <t>_x000D_
HARDLINK NF2036 CE - CP</t>
  </si>
  <si>
    <t>29/03/2019 12:09</t>
  </si>
  <si>
    <t>29/03/2019 14:04</t>
  </si>
  <si>
    <t>_x000D_
FABRINA VIEIRA GOMES</t>
  </si>
  <si>
    <t>_x000D_
RECEBIMENTO DE MATERIAIS - 2133 3 PODERES COMERCIAL DE FERRAMENTAS</t>
  </si>
  <si>
    <t>17/03/2019 09:09</t>
  </si>
  <si>
    <t>_x000D_
RECEBIMENTO DE MATERIAIS - 2126 3 PODERES COMERCIAL DE FERRAMENTAS</t>
  </si>
  <si>
    <t>17/03/2019 09:08</t>
  </si>
  <si>
    <t>_x000D_
RECEBIMENTO DE MATERIAIS - 2114 3 PODERES COMERCIAL DE FERRAMENTAS</t>
  </si>
  <si>
    <t>17/03/2019 08:24</t>
  </si>
  <si>
    <t>_x000D_
RECEBIMENTO DE MATERIAIS - 631 ESTRUTURA COMERCIAL</t>
  </si>
  <si>
    <t>24/10/2018 17:04</t>
  </si>
  <si>
    <t>_x000D_
RECEBIMENTO DE MATERIAIS - 620 ESTRUTURA COMERCIAL</t>
  </si>
  <si>
    <t>17/10/2018 12:17</t>
  </si>
  <si>
    <t>_x000D_
RECEBIMENTO DE MATERIAIS - 28939 EMPLACA AUTOMACAO E TECNOLOGIA LTDA</t>
  </si>
  <si>
    <t>22/11/2018 17:32</t>
  </si>
  <si>
    <t>22/11/2018 17:33</t>
  </si>
  <si>
    <t>_x000D_
RECEBIMENTO DE MATERIAIS - 402207 SODINE SOC.</t>
  </si>
  <si>
    <t>17/10/2018 08:56</t>
  </si>
  <si>
    <t>SITUAÇÃO</t>
  </si>
  <si>
    <t>RESUMO</t>
  </si>
  <si>
    <t>ABERTURA</t>
  </si>
  <si>
    <t>MOVIMENTAÇÃO</t>
  </si>
  <si>
    <t>SOLICITANTE</t>
  </si>
  <si>
    <t>ATRIBUIDO</t>
  </si>
  <si>
    <t>CLASSIFICAÇÃO</t>
  </si>
  <si>
    <t>PRIORIDADE</t>
  </si>
  <si>
    <t>SLA</t>
  </si>
  <si>
    <t>LIMITE</t>
  </si>
  <si>
    <t>Meus Grupos de AtendimentoMeus ChamadosMeus Chamados AprovaçõesAbertos por mimAtribuídos a mimAberto por ...Atribuído a ...</t>
  </si>
  <si>
    <t>Datas</t>
  </si>
  <si>
    <t>Grupos de Atendimento e Fluxos</t>
  </si>
  <si>
    <t>Prioridade / SLA</t>
  </si>
  <si>
    <t>Selecione&gt; Maior que&gt;= Maior ou igual&lt; Menor que&lt;= Menor ou igual= Igual&lt;&gt; DiferenteEntre o IntervaloFora do IntervaloDe SelecioneBaixíssimaBaixaMédiaAltaAltíssimaAté SelecioneBaixíssimaBaixaMédiaAltaAltíssima</t>
  </si>
  <si>
    <t>Estrutura Organizacional / Classificação</t>
  </si>
  <si>
    <t>Número Chamado:</t>
  </si>
  <si>
    <t>Resumo / Descrição:</t>
  </si>
  <si>
    <t>Situação:</t>
  </si>
  <si>
    <t>TodosNovosAbertosEm AndamentoEm Andamento - Contando TempoEm Andamento - Sem Contar TempoEncerradosCancelados</t>
  </si>
  <si>
    <t>Chamados:</t>
  </si>
  <si>
    <t>Chamados Resolvidos:</t>
  </si>
  <si>
    <t>TodosResolvidosNão Resolvidos</t>
  </si>
  <si>
    <t>Período:</t>
  </si>
  <si>
    <t xml:space="preserve">HojeÚltimas 24 HorasDia AnteriorSemana AtualÚltimos 7 diasSemana AnteriorÚltimos 30 diasMês AtualMês AnteriorAno AtualÚltima HoraINTERVALOTodos_x000D_
Data Inicial  _x000D_
Data Final  </t>
  </si>
  <si>
    <t>Data Inicial</t>
  </si>
  <si>
    <t xml:space="preserve">  </t>
  </si>
  <si>
    <t>Data Final</t>
  </si>
  <si>
    <t>Grupo de Atendimento:</t>
  </si>
  <si>
    <t>Gerência:</t>
  </si>
  <si>
    <t>TodasRequisição de ServiçoIncidenteProblema</t>
  </si>
  <si>
    <t>Prioridade:</t>
  </si>
  <si>
    <t>Selecione&gt; Maior que&gt;= Maior ou igual&lt; Menor que&lt;= Menor ou igual= Igual&lt;&gt; DiferenteEntre o IntervaloFora do Intervalo</t>
  </si>
  <si>
    <t>De SelecioneBaixíssimaBaixaMédiaAltaAltíssima</t>
  </si>
  <si>
    <t>Até SelecioneBaixíssimaBaixaMédiaAltaAltíssima</t>
  </si>
  <si>
    <t>SLA Atendimento ultrapassado</t>
  </si>
  <si>
    <t>SLA Solução ultrapassado</t>
  </si>
  <si>
    <t xml:space="preserve">      </t>
  </si>
  <si>
    <t>XManager 3.9.2 (07af303f-6ac4-40a7-81d0-202946a2476b)_x000D_
© 2019 WTI Software</t>
  </si>
  <si>
    <t>CHAMADO</t>
  </si>
  <si>
    <t>_x000D_
 _x000D_
_x000D_
_x000D_
Service Desk_x000D_
»_x000D_
_x000D_
_x000D_
Resumo_x000D_
_x000D_
_x000D_
Acompanhamento_x000D_
»_x000D_
_x000D_
_x000D_
Chamados_x000D_
_x000D_
_x000D_
_x000D_
Chamado_x000D_
»_x000D_
_x000D_
_x000D_
Novo Chamado_x000D_
_x000D_
_x000D_
Campos Chamado_x000D_
_x000D_
_x000D_
Campos Movimentação_x000D_
_x000D_
_x000D_
_x000D_
Visualizar_x000D_
»_x000D_
_x000D_
_x000D_
Relatórios_x000D_
_x000D_
_x000D_
_x000D_
_x000D_
 _x000D_
NELSON JOSE CANDIDO_x000D_
_x000D_
_x000D_
_x000D_
_x000D_
_x000D_
 Service DeskAcompanhamentoChamados</t>
  </si>
  <si>
    <t>_x000D_
CMS INDUSTRIA 3473</t>
  </si>
  <si>
    <t>22/04/2019 11:58</t>
  </si>
  <si>
    <t>_x000D_
UNI-MANG DISTRIBUIDORA DE BORRACHAS_NF 28440-0</t>
  </si>
  <si>
    <t>Fluxo:</t>
  </si>
  <si>
    <t>_x000D_
EM CONFERÊNCIA - PR</t>
  </si>
  <si>
    <t>_x000D_
OPTIC-SUL_NF 13615-1</t>
  </si>
  <si>
    <t>16/05/2019 18:08</t>
  </si>
  <si>
    <t>21/05/2019 16:42</t>
  </si>
  <si>
    <t>_x000D_
OPTIC-SUL_NF 13589-1</t>
  </si>
  <si>
    <t>21/05/2019 16:30</t>
  </si>
  <si>
    <t>_x000D_
SP COMÉRCIO DE PRODUTOS DE INFORMÁTICA_NF 3640-1</t>
  </si>
  <si>
    <t>26/04/2019 13:59</t>
  </si>
  <si>
    <t>21/05/2019 15:59</t>
  </si>
  <si>
    <t>_x000D_
DISTEL DISTRIB DE MATERIAIS_NF 1389-1</t>
  </si>
  <si>
    <t>21/05/2019 11:09</t>
  </si>
  <si>
    <t>21/05/2019 11:11</t>
  </si>
  <si>
    <t>_x000D_
DI SANTOS COMÉRCIO LTDA_NF 851-1</t>
  </si>
  <si>
    <t>21/05/2019 11:01</t>
  </si>
  <si>
    <t>21/05/2019 11:02</t>
  </si>
  <si>
    <t>_x000D_
GECOM – COMERCIAL E ASSESSORIA_NF 1268-1</t>
  </si>
  <si>
    <t>20/05/2019 18:55</t>
  </si>
  <si>
    <t>20/05/2019 18:56</t>
  </si>
  <si>
    <t>_x000D_
GECOM – COMERCIAL E ASSESSORIA_NF 1267-1</t>
  </si>
  <si>
    <t>20/05/2019 18:30</t>
  </si>
  <si>
    <t>20/05/2019 18:31</t>
  </si>
  <si>
    <t xml:space="preserve">_x000D_
GECOM – COMERCIAL E ASSESSORIA_NF 1266-1 </t>
  </si>
  <si>
    <t>20/05/2019 18:23</t>
  </si>
  <si>
    <t>20/05/2019 18:24</t>
  </si>
  <si>
    <t>_x000D_
GECOM – COMERCIAL E ASSESSORÍA_NF 1265-1</t>
  </si>
  <si>
    <t>20/05/2019 18:16</t>
  </si>
  <si>
    <t>20/05/2019 18:17</t>
  </si>
  <si>
    <t>_x000D_
REICHLE &amp; DE-MASSARII COMÉRCIO_NF 4912-1</t>
  </si>
  <si>
    <t>20/05/2019 18:04</t>
  </si>
  <si>
    <t>_x000D_
3 PODERES COMERCIAL DE FERRAMENTAS_NF 2557-1</t>
  </si>
  <si>
    <t>16/05/2019 17:27</t>
  </si>
  <si>
    <t>17/05/2019 14:23</t>
  </si>
  <si>
    <t>_x000D_
CMS INDÚSTRIA E COMÉRCIO DE CONFECÇÕES_NF 3503-1</t>
  </si>
  <si>
    <t>17/05/2019 09:45</t>
  </si>
  <si>
    <t>17/05/2019 09:46</t>
  </si>
  <si>
    <t>_x000D_
SLYN TELECOMUNICAÇÃO INFORMÁTICA_NF 13609-1</t>
  </si>
  <si>
    <t>16/05/2019 18:44</t>
  </si>
  <si>
    <t>16/05/2019 18:47</t>
  </si>
  <si>
    <t>_x000D_
SP COMÉRCIO DE PRODUTOS DE INFORMÁTICA_NF 3696-1</t>
  </si>
  <si>
    <t>16/05/2019 17:55</t>
  </si>
  <si>
    <t>16/05/2019 17:56</t>
  </si>
  <si>
    <t>_x000D_
3 PODERES COMERCIAL DE FERRAMENTAS_NF 2558-1</t>
  </si>
  <si>
    <t>16/05/2019 17:35</t>
  </si>
  <si>
    <t>_x000D_
CALL-PHONE TELEF. ELET. E INF. LTDA_NF 11784-0</t>
  </si>
  <si>
    <t>16/05/2019 16:47</t>
  </si>
  <si>
    <t>16/05/2019 16:49</t>
  </si>
  <si>
    <t>_x000D_
SLYN TELECOMUNICAÇÃO INFORMÁTICA_NF 13601-1</t>
  </si>
  <si>
    <t>16/05/2019 09:49</t>
  </si>
  <si>
    <t>16/05/2019 09:50</t>
  </si>
  <si>
    <t>_x000D_
CMS INDÚSTRIA E COMÉRCIO DE CONFECÇÕES_NF 3502-1</t>
  </si>
  <si>
    <t>16/05/2019 09:36</t>
  </si>
  <si>
    <t>16/05/2019 09:38</t>
  </si>
  <si>
    <t>_x000D_
MAXXLATINA DISTRIBUIDORA_NF 2807-1</t>
  </si>
  <si>
    <t>14/05/2019 18:23</t>
  </si>
  <si>
    <t>14/05/2019 18:24</t>
  </si>
  <si>
    <t>_x000D_
REYFOR COMÉRCIO EM FERRO FUNDIDO_NF 4465-1</t>
  </si>
  <si>
    <t>14/05/2019 14:13</t>
  </si>
  <si>
    <t>14/05/2019 14:14</t>
  </si>
  <si>
    <t>_x000D_
CALL-PHONE TELEF. ELET. E INF. LTDA_NF 11778-0</t>
  </si>
  <si>
    <t>13/05/2019 10:17</t>
  </si>
  <si>
    <t>13/05/2019 10:18</t>
  </si>
  <si>
    <t>_x000D_
SLYN TELECOMUNICAÇÃO INFORMÁTICA_NF 13574-1</t>
  </si>
  <si>
    <t>_x000D_
SLYN TELECOMUNICAÇÃO INFORMÁTICA_NF 13573-1</t>
  </si>
  <si>
    <t>_x000D_
SLYN TELECOMUNICAÇÃO INFORMÁTICA_NF 13571-1</t>
  </si>
  <si>
    <t>_x000D_
CMS INDÚSTRIA E COMÉRCIO DE CONFECÇÕES_NF 3493-1</t>
  </si>
  <si>
    <t>_x000D_
CMS INDÚSTRIA E COMÉRCIO DE CONFECÇÕES_NF 3490-1</t>
  </si>
  <si>
    <t>_x000D_
CMS INDÚSTRIA E COMÉRCIO DE CONFECÇÕES_NF 3488-1</t>
  </si>
  <si>
    <t>Chamados</t>
  </si>
  <si>
    <t>_x000D_
SP COMÉRCIO DE PRODUTOS DE INFORMÁTICA_NF 3679-1</t>
  </si>
  <si>
    <t>21/05/2019 19:01</t>
  </si>
  <si>
    <t>_x000D_
WALDEIR MENDES JUNIOR</t>
  </si>
  <si>
    <t>TodasAberturaFechamentoAbertura/FechamentoMovimentação</t>
  </si>
  <si>
    <t>Classificação: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</si>
</sst>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9">
    <xf numFmtId="0" fontId="0" fillId="0" borderId="0" xfId="0"/>
    <xf numFmtId="0" fontId="0" fillId="0" borderId="0" xfId="0" applyAlignment="1">
      <alignment wrapText="1"/>
    </xf>
    <xf numFmtId="0" fontId="1" fillId="0" borderId="0" xfId="1"/>
    <xf numFmtId="22" fontId="0" fillId="0" borderId="0" xfId="0" applyNumberFormat="1"/>
    <xf numFmtId="0" fontId="1" fillId="0" borderId="0" xfId="1" applyAlignment="1">
      <alignment wrapText="1"/>
    </xf>
    <xf numFmtId="22" fontId="1" fillId="0" borderId="0" xfId="1" applyNumberFormat="1" applyAlignment="1">
      <alignment wrapText="1"/>
    </xf>
    <xf numFmtId="22" fontId="0" fillId="0" borderId="0" xfId="0" applyNumberFormat="1" applyAlignment="1">
      <alignment wrapText="1"/>
    </xf>
    <xf numFmtId="14" fontId="0" fillId="0" borderId="0" xfId="0" applyNumberFormat="1" applyAlignment="1">
      <alignment wrapText="1"/>
    </xf>
    <xf numFmtId="1" fontId="0" fillId="0" borderId="0" xfId="0" applyNumberFormat="1"/>
  </cellXfs>
  <cellStyles count="2">
    <cellStyle name="Normal" xfId="0" builtinId="0"/>
    <cellStyle name="Normal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ontrole%20Ve&#237;culos%20Poo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e"/>
      <sheetName val="telefone"/>
      <sheetName val="disponibilidade"/>
      <sheetName val="reservas"/>
      <sheetName val="checklist"/>
      <sheetName val="Plan1"/>
      <sheetName val="img"/>
      <sheetName val="Portal GH"/>
    </sheetNames>
    <sheetDataSet>
      <sheetData sheetId="0" refreshError="1"/>
      <sheetData sheetId="1" refreshError="1"/>
      <sheetData sheetId="2">
        <row r="3">
          <cell r="A3" t="str">
            <v>PZL8868</v>
          </cell>
        </row>
        <row r="4">
          <cell r="A4" t="str">
            <v>PZL8986</v>
          </cell>
        </row>
        <row r="5">
          <cell r="A5" t="str">
            <v>PZL9042</v>
          </cell>
        </row>
        <row r="6">
          <cell r="A6" t="str">
            <v>PZL9050</v>
          </cell>
        </row>
        <row r="7">
          <cell r="A7" t="str">
            <v>PZL8832</v>
          </cell>
        </row>
        <row r="8">
          <cell r="A8" t="str">
            <v>PZL8865</v>
          </cell>
        </row>
        <row r="9">
          <cell r="A9" t="str">
            <v>PZL8876</v>
          </cell>
        </row>
        <row r="10">
          <cell r="A10" t="str">
            <v>PZL9094</v>
          </cell>
        </row>
        <row r="11">
          <cell r="A11" t="str">
            <v>PZL9028</v>
          </cell>
        </row>
        <row r="12">
          <cell r="A12" t="str">
            <v>PZL9013</v>
          </cell>
        </row>
        <row r="13">
          <cell r="A13" t="str">
            <v>PZL8987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B1"/>
  <sheetViews>
    <sheetView workbookViewId="0"/>
  </sheetViews>
  <sheetFormatPr defaultRowHeight="15" x14ac:dyDescent="0.25"/>
  <sheetData>
    <row r="1" spans="1:2" x14ac:dyDescent="0.25">
      <c r="A1" t="s">
        <v>0</v>
      </c>
      <c r="B1">
        <v>1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MU203"/>
  <sheetViews>
    <sheetView zoomScale="70" zoomScaleNormal="70" workbookViewId="0">
      <pane xSplit="1" ySplit="1" topLeftCell="G2" activePane="bottomRight" state="frozen"/>
      <selection pane="topRight" activeCell="B1" sqref="B1"/>
      <selection pane="bottomLeft" activeCell="A2" sqref="A2"/>
      <selection pane="bottomRight" activeCell="J1" sqref="J1"/>
    </sheetView>
  </sheetViews>
  <sheetFormatPr defaultRowHeight="15" x14ac:dyDescent="0.25"/>
  <cols>
    <col min="1" max="1" width="12.85546875" customWidth="1"/>
    <col min="2" max="2" width="14" customWidth="1"/>
    <col min="3" max="3" width="9.140625" customWidth="1"/>
    <col min="4" max="4" width="23.28515625" customWidth="1"/>
    <col min="5" max="5" width="25.28515625" bestFit="1" customWidth="1"/>
    <col min="6" max="6" width="13" bestFit="1" customWidth="1"/>
    <col min="7" max="7" width="20.7109375" bestFit="1" customWidth="1"/>
    <col min="8" max="8" width="14.28515625" customWidth="1"/>
    <col min="9" max="9" width="19.140625" customWidth="1"/>
    <col min="10" max="10" width="17.7109375" customWidth="1"/>
    <col min="11" max="11" width="23.42578125" customWidth="1"/>
    <col min="17" max="17" width="26.85546875" customWidth="1"/>
  </cols>
  <sheetData>
    <row r="1" spans="1:359" x14ac:dyDescent="0.25">
      <c r="A1" t="s">
        <v>9</v>
      </c>
      <c r="B1" t="s">
        <v>10</v>
      </c>
      <c r="C1" t="s">
        <v>11</v>
      </c>
    </row>
    <row r="2" spans="1:359" ht="25.5" customHeight="1" x14ac:dyDescent="0.25">
      <c r="A2" s="5" t="s">
        <v>40</v>
      </c>
      <c r="B2" s="6"/>
      <c r="C2" s="3"/>
      <c r="D2" s="1"/>
      <c r="E2">
        <v>738481</v>
      </c>
      <c r="F2" s="1"/>
      <c r="G2" s="1" t="s">
        <v>36</v>
      </c>
      <c r="H2" s="1"/>
      <c r="I2" s="1" t="s">
        <v>12</v>
      </c>
      <c r="J2" t="s">
        <v>13</v>
      </c>
      <c r="K2" s="3">
        <v>43712.429861111108</v>
      </c>
      <c r="M2" s="1" t="s">
        <v>30</v>
      </c>
      <c r="O2" s="1" t="s">
        <v>37</v>
      </c>
      <c r="Q2" s="1" t="s">
        <v>19</v>
      </c>
      <c r="R2" s="1" t="s">
        <v>20</v>
      </c>
      <c r="S2" s="1"/>
      <c r="T2" s="3" t="s">
        <v>21</v>
      </c>
      <c r="U2" s="3"/>
      <c r="W2" s="1"/>
      <c r="Y2" s="1"/>
      <c r="Z2" s="1"/>
      <c r="AA2" s="1"/>
      <c r="AB2" s="1"/>
      <c r="AC2" s="3"/>
      <c r="AD2" s="3"/>
      <c r="AF2" s="1"/>
      <c r="AH2" s="1"/>
      <c r="AJ2" s="1"/>
      <c r="AL2" s="1"/>
      <c r="AN2" s="3"/>
      <c r="AP2" s="1"/>
      <c r="AR2" s="1"/>
      <c r="AS2" s="1"/>
      <c r="AT2" s="1"/>
      <c r="AU2" s="1"/>
      <c r="AV2" s="3"/>
      <c r="AW2" s="3"/>
      <c r="AY2" s="1"/>
      <c r="BA2" s="1"/>
      <c r="BC2" s="1"/>
      <c r="BE2" s="1"/>
      <c r="BF2" s="3"/>
      <c r="BG2" s="3"/>
      <c r="BI2" s="1"/>
      <c r="BK2" s="1"/>
      <c r="BL2" s="1"/>
      <c r="BM2" s="1"/>
      <c r="BN2" s="1"/>
      <c r="BO2" s="3"/>
      <c r="BP2" s="3"/>
      <c r="BR2" s="1"/>
      <c r="BT2" s="1"/>
      <c r="BV2" s="1"/>
      <c r="BX2" s="1"/>
      <c r="BZ2" s="3"/>
      <c r="CB2" s="1"/>
      <c r="CD2" s="1"/>
      <c r="CE2" s="1"/>
      <c r="CF2" s="1"/>
      <c r="CG2" s="1"/>
      <c r="CH2" s="3"/>
      <c r="CI2" s="3"/>
      <c r="CK2" s="1"/>
      <c r="CM2" s="1"/>
      <c r="CO2" s="1"/>
      <c r="CQ2" s="1"/>
      <c r="CR2" s="3"/>
      <c r="CS2" s="3"/>
      <c r="CU2" s="1"/>
      <c r="CW2" s="1"/>
      <c r="CX2" s="1"/>
      <c r="CY2" s="1"/>
      <c r="CZ2" s="1"/>
      <c r="DA2" s="3"/>
      <c r="DB2" s="3"/>
      <c r="DD2" s="1"/>
      <c r="DF2" s="1"/>
      <c r="DH2" s="1"/>
      <c r="DQ2" s="1"/>
      <c r="DS2" s="1"/>
      <c r="DT2" s="3"/>
      <c r="DU2" s="3"/>
      <c r="DW2" s="1"/>
      <c r="DY2" s="1"/>
      <c r="EA2" s="1"/>
      <c r="EJ2" s="1"/>
      <c r="EL2" s="1"/>
      <c r="EM2" s="3"/>
      <c r="EN2" s="3"/>
      <c r="EP2" s="1"/>
      <c r="ER2" s="1"/>
      <c r="ET2" s="1"/>
      <c r="FC2" s="1"/>
      <c r="FE2" s="1"/>
      <c r="FF2" s="3"/>
      <c r="FG2" s="3"/>
      <c r="FI2" s="1"/>
      <c r="FK2" s="1"/>
      <c r="FM2" s="1"/>
      <c r="FV2" s="1"/>
      <c r="FX2" s="1"/>
      <c r="FY2" s="3"/>
      <c r="FZ2" s="3"/>
      <c r="GB2" s="1"/>
      <c r="GD2" s="1"/>
      <c r="GF2" s="1"/>
      <c r="GO2" s="1"/>
      <c r="GQ2" s="1"/>
      <c r="GR2" s="3"/>
      <c r="GS2" s="3"/>
      <c r="GU2" s="1"/>
      <c r="GW2" s="1"/>
      <c r="GY2" s="1"/>
      <c r="HH2" s="1"/>
      <c r="HJ2" s="1"/>
      <c r="HN2" s="1"/>
      <c r="HP2" s="1"/>
      <c r="HR2" s="1"/>
      <c r="IA2" s="1"/>
      <c r="IC2" s="1"/>
      <c r="IG2" s="1"/>
      <c r="II2" s="1"/>
      <c r="IK2" s="1"/>
      <c r="IT2" s="1"/>
      <c r="IV2" s="1"/>
      <c r="IZ2" s="1"/>
      <c r="JB2" s="1"/>
      <c r="JD2" s="1"/>
      <c r="JM2" s="1"/>
      <c r="JO2" s="1"/>
      <c r="JS2" s="1"/>
      <c r="JU2" s="1"/>
      <c r="JW2" s="1"/>
      <c r="KF2" s="1"/>
      <c r="KH2" s="1"/>
      <c r="KI2" s="3"/>
      <c r="KL2" s="1"/>
      <c r="KN2" s="1"/>
      <c r="KP2" s="1"/>
      <c r="KY2" s="1"/>
      <c r="LA2" s="1"/>
      <c r="LE2" s="1"/>
      <c r="LG2" s="1"/>
      <c r="LI2" s="1"/>
      <c r="LR2" s="1"/>
      <c r="LT2" s="1"/>
      <c r="LU2" s="3"/>
      <c r="LV2" s="3"/>
      <c r="LX2" s="1"/>
      <c r="LZ2" s="1"/>
      <c r="MB2" s="1"/>
      <c r="MK2" s="1"/>
      <c r="MM2" s="1"/>
      <c r="MN2" s="3"/>
      <c r="MO2" s="3"/>
      <c r="MQ2" s="1"/>
      <c r="MS2" s="1"/>
      <c r="MU2" s="1"/>
    </row>
    <row r="3" spans="1:359" ht="90" x14ac:dyDescent="0.25">
      <c r="A3" s="2"/>
      <c r="E3">
        <v>732448</v>
      </c>
      <c r="G3" s="7" t="s">
        <v>14</v>
      </c>
      <c r="I3" s="1" t="s">
        <v>38</v>
      </c>
      <c r="J3" t="s">
        <v>39</v>
      </c>
      <c r="K3" s="6">
        <v>43681.71875</v>
      </c>
      <c r="M3" s="6" t="s">
        <v>17</v>
      </c>
      <c r="O3" s="1" t="s">
        <v>18</v>
      </c>
      <c r="Q3" s="1" t="s">
        <v>19</v>
      </c>
      <c r="T3" t="s">
        <v>21</v>
      </c>
    </row>
    <row r="4" spans="1:359" ht="75" customHeight="1" x14ac:dyDescent="0.25">
      <c r="A4" s="4"/>
      <c r="B4" s="1"/>
      <c r="E4" s="8">
        <v>739095</v>
      </c>
      <c r="G4" s="7" t="s">
        <v>14</v>
      </c>
      <c r="H4" s="1"/>
      <c r="I4" s="1" t="s">
        <v>15</v>
      </c>
      <c r="J4" s="1" t="s">
        <v>16</v>
      </c>
      <c r="K4" s="7">
        <v>43681.716666666667</v>
      </c>
      <c r="L4" s="3"/>
      <c r="M4" s="1" t="s">
        <v>17</v>
      </c>
      <c r="N4" s="1"/>
      <c r="O4" s="1" t="s">
        <v>18</v>
      </c>
      <c r="P4" s="1"/>
      <c r="Q4" s="1" t="s">
        <v>19</v>
      </c>
      <c r="R4" s="1" t="s">
        <v>20</v>
      </c>
      <c r="T4" t="s">
        <v>21</v>
      </c>
    </row>
    <row r="5" spans="1:359" ht="409.6" x14ac:dyDescent="0.25">
      <c r="A5" s="4" t="s">
        <v>40</v>
      </c>
      <c r="E5">
        <v>730976</v>
      </c>
      <c r="G5" s="1" t="s">
        <v>22</v>
      </c>
      <c r="I5" s="1" t="s">
        <v>23</v>
      </c>
      <c r="J5" s="1" t="s">
        <v>24</v>
      </c>
      <c r="K5" s="6">
        <v>43681.62777777778</v>
      </c>
      <c r="L5" s="1"/>
      <c r="M5" s="6" t="s">
        <v>25</v>
      </c>
      <c r="N5" s="3"/>
      <c r="O5" s="1" t="s">
        <v>18</v>
      </c>
      <c r="P5" s="1"/>
      <c r="Q5" s="1" t="s">
        <v>19</v>
      </c>
      <c r="R5" s="1" t="s">
        <v>20</v>
      </c>
      <c r="S5" s="1"/>
      <c r="T5" s="1" t="s">
        <v>21</v>
      </c>
      <c r="DH5" s="1"/>
    </row>
    <row r="6" spans="1:359" ht="255" x14ac:dyDescent="0.25">
      <c r="E6">
        <v>750389</v>
      </c>
      <c r="G6" s="1" t="s">
        <v>14</v>
      </c>
      <c r="I6" s="1" t="s">
        <v>26</v>
      </c>
      <c r="J6" s="3">
        <v>43500.746527777781</v>
      </c>
      <c r="K6" s="3">
        <v>43681.620138888888</v>
      </c>
      <c r="M6" s="1" t="s">
        <v>27</v>
      </c>
      <c r="O6" s="1" t="s">
        <v>18</v>
      </c>
      <c r="Q6" s="1" t="s">
        <v>19</v>
      </c>
      <c r="R6" s="1" t="s">
        <v>20</v>
      </c>
      <c r="T6" t="s">
        <v>21</v>
      </c>
    </row>
    <row r="7" spans="1:359" ht="255" x14ac:dyDescent="0.25">
      <c r="E7">
        <v>737489</v>
      </c>
      <c r="G7" s="1" t="s">
        <v>22</v>
      </c>
      <c r="I7" s="1" t="s">
        <v>28</v>
      </c>
      <c r="J7" t="s">
        <v>29</v>
      </c>
      <c r="K7" s="3">
        <v>43681.429166666669</v>
      </c>
      <c r="M7" s="1" t="s">
        <v>30</v>
      </c>
      <c r="O7" s="1" t="s">
        <v>18</v>
      </c>
      <c r="Q7" s="1" t="s">
        <v>19</v>
      </c>
      <c r="R7" s="1" t="s">
        <v>20</v>
      </c>
      <c r="T7" t="s">
        <v>21</v>
      </c>
    </row>
    <row r="8" spans="1:359" ht="75" x14ac:dyDescent="0.25">
      <c r="E8">
        <v>728139</v>
      </c>
      <c r="G8" s="1" t="s">
        <v>22</v>
      </c>
      <c r="I8" s="1" t="s">
        <v>41</v>
      </c>
      <c r="J8" s="3">
        <v>43802.6</v>
      </c>
      <c r="K8" s="3">
        <v>43681.395833333336</v>
      </c>
      <c r="M8" s="1" t="s">
        <v>34</v>
      </c>
      <c r="O8" s="1" t="s">
        <v>18</v>
      </c>
      <c r="Q8" s="1" t="s">
        <v>19</v>
      </c>
      <c r="T8" t="s">
        <v>21</v>
      </c>
    </row>
    <row r="9" spans="1:359" ht="90" x14ac:dyDescent="0.25">
      <c r="E9">
        <v>714510</v>
      </c>
      <c r="G9" s="1" t="s">
        <v>22</v>
      </c>
      <c r="I9" s="1" t="s">
        <v>42</v>
      </c>
      <c r="J9" t="s">
        <v>43</v>
      </c>
      <c r="K9" s="3">
        <v>43681.352777777778</v>
      </c>
      <c r="M9" s="1" t="s">
        <v>25</v>
      </c>
      <c r="O9" s="1" t="s">
        <v>18</v>
      </c>
      <c r="Q9" s="1" t="s">
        <v>19</v>
      </c>
      <c r="T9" t="s">
        <v>21</v>
      </c>
    </row>
    <row r="10" spans="1:359" ht="90" x14ac:dyDescent="0.25">
      <c r="E10">
        <v>728714</v>
      </c>
      <c r="G10" s="1" t="s">
        <v>22</v>
      </c>
      <c r="I10" s="1" t="s">
        <v>44</v>
      </c>
      <c r="J10" s="3">
        <v>43802.931250000001</v>
      </c>
      <c r="K10" s="3">
        <v>43620.414583333331</v>
      </c>
      <c r="M10" s="1" t="s">
        <v>25</v>
      </c>
      <c r="O10" s="1" t="s">
        <v>18</v>
      </c>
      <c r="Q10" s="1" t="s">
        <v>19</v>
      </c>
      <c r="T10" t="s">
        <v>21</v>
      </c>
    </row>
    <row r="11" spans="1:359" ht="255" x14ac:dyDescent="0.25">
      <c r="E11">
        <v>691411</v>
      </c>
      <c r="G11" s="1" t="s">
        <v>22</v>
      </c>
      <c r="I11" s="1" t="s">
        <v>45</v>
      </c>
      <c r="J11" t="s">
        <v>46</v>
      </c>
      <c r="K11" s="3">
        <v>43620.378472222219</v>
      </c>
      <c r="M11" s="1" t="s">
        <v>25</v>
      </c>
      <c r="O11" s="1" t="s">
        <v>18</v>
      </c>
      <c r="Q11" s="1" t="s">
        <v>19</v>
      </c>
      <c r="R11" s="1" t="s">
        <v>20</v>
      </c>
      <c r="T11" t="s">
        <v>21</v>
      </c>
    </row>
    <row r="12" spans="1:359" ht="255" x14ac:dyDescent="0.25">
      <c r="E12">
        <v>689806</v>
      </c>
      <c r="G12" s="1" t="s">
        <v>22</v>
      </c>
      <c r="I12" s="1" t="s">
        <v>47</v>
      </c>
      <c r="J12" t="s">
        <v>48</v>
      </c>
      <c r="K12" s="3">
        <v>43620.377083333333</v>
      </c>
      <c r="M12" s="1" t="s">
        <v>25</v>
      </c>
      <c r="O12" s="1" t="s">
        <v>18</v>
      </c>
      <c r="Q12" s="1" t="s">
        <v>19</v>
      </c>
      <c r="R12" s="1" t="s">
        <v>20</v>
      </c>
      <c r="T12" t="s">
        <v>21</v>
      </c>
    </row>
    <row r="13" spans="1:359" ht="255" x14ac:dyDescent="0.25">
      <c r="E13">
        <v>689468</v>
      </c>
      <c r="G13" s="1" t="s">
        <v>22</v>
      </c>
      <c r="I13" s="1" t="s">
        <v>49</v>
      </c>
      <c r="J13" t="s">
        <v>50</v>
      </c>
      <c r="K13" s="3">
        <v>43620.377083333333</v>
      </c>
      <c r="M13" s="1" t="s">
        <v>25</v>
      </c>
      <c r="O13" s="1" t="s">
        <v>18</v>
      </c>
      <c r="Q13" s="1" t="s">
        <v>19</v>
      </c>
      <c r="R13" s="1" t="s">
        <v>20</v>
      </c>
      <c r="T13" t="s">
        <v>21</v>
      </c>
    </row>
    <row r="14" spans="1:359" ht="255" x14ac:dyDescent="0.25">
      <c r="E14">
        <v>733164</v>
      </c>
      <c r="G14" s="1" t="s">
        <v>36</v>
      </c>
      <c r="I14" s="1" t="s">
        <v>51</v>
      </c>
      <c r="J14" t="s">
        <v>52</v>
      </c>
      <c r="K14" s="3">
        <v>43589.751388888886</v>
      </c>
      <c r="M14" s="1" t="s">
        <v>30</v>
      </c>
      <c r="O14" s="1" t="s">
        <v>53</v>
      </c>
      <c r="Q14" s="1" t="s">
        <v>19</v>
      </c>
      <c r="R14" s="1" t="s">
        <v>20</v>
      </c>
      <c r="T14" t="s">
        <v>21</v>
      </c>
    </row>
    <row r="15" spans="1:359" ht="90" x14ac:dyDescent="0.25">
      <c r="E15">
        <v>737200</v>
      </c>
      <c r="G15" s="1" t="s">
        <v>22</v>
      </c>
      <c r="I15" s="1" t="s">
        <v>54</v>
      </c>
      <c r="J15" t="s">
        <v>55</v>
      </c>
      <c r="K15" s="3">
        <v>43589.74722222222</v>
      </c>
      <c r="M15" s="1" t="s">
        <v>17</v>
      </c>
      <c r="O15" s="1" t="s">
        <v>18</v>
      </c>
      <c r="Q15" s="1" t="s">
        <v>19</v>
      </c>
      <c r="T15" t="s">
        <v>21</v>
      </c>
    </row>
    <row r="16" spans="1:359" ht="75" x14ac:dyDescent="0.25">
      <c r="E16">
        <v>745341</v>
      </c>
      <c r="G16" s="1" t="s">
        <v>36</v>
      </c>
      <c r="I16" s="1" t="s">
        <v>56</v>
      </c>
      <c r="J16" t="s">
        <v>57</v>
      </c>
      <c r="K16" s="3">
        <v>43589.479861111111</v>
      </c>
      <c r="M16" s="1" t="s">
        <v>30</v>
      </c>
      <c r="O16" s="1" t="s">
        <v>53</v>
      </c>
      <c r="Q16" s="1" t="s">
        <v>19</v>
      </c>
      <c r="T16" t="s">
        <v>21</v>
      </c>
    </row>
    <row r="17" spans="5:20" ht="75" x14ac:dyDescent="0.25">
      <c r="E17">
        <v>745374</v>
      </c>
      <c r="G17" s="1" t="s">
        <v>36</v>
      </c>
      <c r="I17" s="1" t="s">
        <v>58</v>
      </c>
      <c r="J17" t="s">
        <v>59</v>
      </c>
      <c r="K17" s="3">
        <v>43589.478472222225</v>
      </c>
      <c r="M17" s="1" t="s">
        <v>30</v>
      </c>
      <c r="O17" s="1" t="s">
        <v>53</v>
      </c>
      <c r="Q17" s="1" t="s">
        <v>19</v>
      </c>
      <c r="T17" t="s">
        <v>21</v>
      </c>
    </row>
    <row r="18" spans="5:20" ht="90" x14ac:dyDescent="0.25">
      <c r="E18">
        <v>728167</v>
      </c>
      <c r="G18" s="1" t="s">
        <v>14</v>
      </c>
      <c r="I18" s="1" t="s">
        <v>60</v>
      </c>
      <c r="J18" s="3">
        <v>43802.61041666667</v>
      </c>
      <c r="K18" s="3">
        <v>43559.665277777778</v>
      </c>
      <c r="M18" s="1" t="s">
        <v>25</v>
      </c>
      <c r="O18" s="1" t="s">
        <v>18</v>
      </c>
      <c r="Q18" s="1" t="s">
        <v>19</v>
      </c>
      <c r="T18" t="s">
        <v>21</v>
      </c>
    </row>
    <row r="19" spans="5:20" ht="90" x14ac:dyDescent="0.25">
      <c r="E19">
        <v>740043</v>
      </c>
      <c r="G19" s="1" t="s">
        <v>22</v>
      </c>
      <c r="I19" s="1" t="s">
        <v>61</v>
      </c>
      <c r="J19" t="s">
        <v>62</v>
      </c>
      <c r="K19" s="3">
        <v>43559.636111111111</v>
      </c>
      <c r="M19" s="1" t="s">
        <v>17</v>
      </c>
      <c r="O19" s="1" t="s">
        <v>18</v>
      </c>
      <c r="Q19" s="1" t="s">
        <v>19</v>
      </c>
      <c r="T19" t="s">
        <v>21</v>
      </c>
    </row>
    <row r="20" spans="5:20" ht="90" x14ac:dyDescent="0.25">
      <c r="E20">
        <v>666250</v>
      </c>
      <c r="G20" s="1" t="s">
        <v>22</v>
      </c>
      <c r="I20" s="1" t="s">
        <v>63</v>
      </c>
      <c r="J20" t="s">
        <v>64</v>
      </c>
      <c r="K20" s="3">
        <v>43559.592361111114</v>
      </c>
      <c r="M20" s="1" t="s">
        <v>25</v>
      </c>
      <c r="O20" s="1" t="s">
        <v>18</v>
      </c>
      <c r="Q20" s="1" t="s">
        <v>19</v>
      </c>
      <c r="T20" t="s">
        <v>21</v>
      </c>
    </row>
    <row r="21" spans="5:20" ht="90" x14ac:dyDescent="0.25">
      <c r="E21">
        <v>709292</v>
      </c>
      <c r="G21" s="1" t="s">
        <v>14</v>
      </c>
      <c r="I21" s="1" t="s">
        <v>65</v>
      </c>
      <c r="J21" t="s">
        <v>66</v>
      </c>
      <c r="K21" s="3">
        <v>43559.501388888886</v>
      </c>
      <c r="M21" s="1" t="s">
        <v>25</v>
      </c>
      <c r="O21" s="1" t="s">
        <v>18</v>
      </c>
      <c r="Q21" s="1" t="s">
        <v>19</v>
      </c>
      <c r="T21" t="s">
        <v>21</v>
      </c>
    </row>
    <row r="22" spans="5:20" ht="90" x14ac:dyDescent="0.25">
      <c r="E22">
        <v>587172</v>
      </c>
      <c r="G22" s="1" t="s">
        <v>14</v>
      </c>
      <c r="I22" s="1" t="s">
        <v>67</v>
      </c>
      <c r="J22" s="3">
        <v>43166.603472222225</v>
      </c>
      <c r="K22" s="3">
        <v>43559.495833333334</v>
      </c>
      <c r="M22" s="1" t="s">
        <v>35</v>
      </c>
      <c r="O22" s="1" t="s">
        <v>37</v>
      </c>
      <c r="Q22" s="1" t="s">
        <v>19</v>
      </c>
      <c r="T22" t="s">
        <v>21</v>
      </c>
    </row>
    <row r="23" spans="5:20" ht="90" x14ac:dyDescent="0.25">
      <c r="E23">
        <v>737374</v>
      </c>
      <c r="G23" s="1" t="s">
        <v>22</v>
      </c>
      <c r="I23" s="1" t="s">
        <v>68</v>
      </c>
      <c r="J23" t="s">
        <v>69</v>
      </c>
      <c r="K23" s="3">
        <v>43559.495833333334</v>
      </c>
      <c r="M23" s="1" t="s">
        <v>17</v>
      </c>
      <c r="O23" s="1" t="s">
        <v>18</v>
      </c>
      <c r="Q23" s="1" t="s">
        <v>19</v>
      </c>
      <c r="T23" t="s">
        <v>21</v>
      </c>
    </row>
    <row r="24" spans="5:20" ht="90" x14ac:dyDescent="0.25">
      <c r="E24">
        <v>716083</v>
      </c>
      <c r="G24" s="1" t="s">
        <v>22</v>
      </c>
      <c r="I24" s="1" t="s">
        <v>70</v>
      </c>
      <c r="J24" t="s">
        <v>71</v>
      </c>
      <c r="K24" s="3">
        <v>43559.490277777775</v>
      </c>
      <c r="M24" s="1" t="s">
        <v>25</v>
      </c>
      <c r="O24" s="1" t="s">
        <v>18</v>
      </c>
      <c r="Q24" s="1" t="s">
        <v>19</v>
      </c>
      <c r="T24" t="s">
        <v>21</v>
      </c>
    </row>
    <row r="25" spans="5:20" ht="75" x14ac:dyDescent="0.25">
      <c r="E25">
        <v>744844</v>
      </c>
      <c r="G25" s="1" t="s">
        <v>22</v>
      </c>
      <c r="I25" s="1" t="s">
        <v>72</v>
      </c>
      <c r="J25" t="s">
        <v>73</v>
      </c>
      <c r="K25" s="3">
        <v>43559.486805555556</v>
      </c>
      <c r="M25" s="1" t="s">
        <v>74</v>
      </c>
      <c r="O25" s="1" t="s">
        <v>18</v>
      </c>
      <c r="Q25" s="1" t="s">
        <v>19</v>
      </c>
      <c r="T25" t="s">
        <v>21</v>
      </c>
    </row>
    <row r="26" spans="5:20" ht="90" x14ac:dyDescent="0.25">
      <c r="E26">
        <v>719831</v>
      </c>
      <c r="G26" s="1" t="s">
        <v>14</v>
      </c>
      <c r="I26" s="1" t="s">
        <v>75</v>
      </c>
      <c r="J26" s="3">
        <v>43468.49722222222</v>
      </c>
      <c r="K26" s="3">
        <v>43559.464583333334</v>
      </c>
      <c r="M26" s="1" t="s">
        <v>25</v>
      </c>
      <c r="O26" s="1" t="s">
        <v>37</v>
      </c>
      <c r="Q26" s="1" t="s">
        <v>19</v>
      </c>
      <c r="T26" t="s">
        <v>21</v>
      </c>
    </row>
    <row r="27" spans="5:20" ht="75" x14ac:dyDescent="0.25">
      <c r="E27">
        <v>699350</v>
      </c>
      <c r="G27" s="1" t="s">
        <v>22</v>
      </c>
      <c r="I27" s="1" t="s">
        <v>76</v>
      </c>
      <c r="J27" s="3">
        <v>43648.599305555559</v>
      </c>
      <c r="K27" s="3">
        <v>43559.451388888891</v>
      </c>
      <c r="M27" s="1" t="s">
        <v>25</v>
      </c>
      <c r="O27" s="1" t="s">
        <v>18</v>
      </c>
      <c r="Q27" s="1" t="s">
        <v>19</v>
      </c>
      <c r="T27" t="s">
        <v>21</v>
      </c>
    </row>
    <row r="28" spans="5:20" ht="90" x14ac:dyDescent="0.25">
      <c r="E28">
        <v>728094</v>
      </c>
      <c r="G28" s="1" t="s">
        <v>22</v>
      </c>
      <c r="I28" s="1" t="s">
        <v>77</v>
      </c>
      <c r="J28" s="3">
        <v>43802.585416666669</v>
      </c>
      <c r="K28" s="3">
        <v>43559.445138888892</v>
      </c>
      <c r="M28" s="1" t="s">
        <v>17</v>
      </c>
      <c r="O28" s="1" t="s">
        <v>18</v>
      </c>
      <c r="Q28" s="1" t="s">
        <v>19</v>
      </c>
      <c r="T28" t="s">
        <v>21</v>
      </c>
    </row>
    <row r="29" spans="5:20" ht="90" x14ac:dyDescent="0.25">
      <c r="E29">
        <v>736903</v>
      </c>
      <c r="G29" s="1" t="s">
        <v>22</v>
      </c>
      <c r="I29" s="1" t="s">
        <v>78</v>
      </c>
      <c r="J29" t="s">
        <v>79</v>
      </c>
      <c r="K29" s="3">
        <v>43559.396527777775</v>
      </c>
      <c r="M29" s="1" t="s">
        <v>17</v>
      </c>
      <c r="O29" s="1" t="s">
        <v>18</v>
      </c>
      <c r="Q29" s="1" t="s">
        <v>19</v>
      </c>
      <c r="T29" t="s">
        <v>21</v>
      </c>
    </row>
    <row r="30" spans="5:20" ht="105" x14ac:dyDescent="0.25">
      <c r="E30">
        <v>736133</v>
      </c>
      <c r="G30" s="1" t="s">
        <v>22</v>
      </c>
      <c r="I30" s="1" t="s">
        <v>80</v>
      </c>
      <c r="J30" t="s">
        <v>81</v>
      </c>
      <c r="K30" s="3">
        <v>43559.395833333336</v>
      </c>
      <c r="M30" s="1" t="s">
        <v>32</v>
      </c>
      <c r="O30" s="1" t="s">
        <v>18</v>
      </c>
      <c r="Q30" s="1" t="s">
        <v>19</v>
      </c>
      <c r="T30" t="s">
        <v>21</v>
      </c>
    </row>
    <row r="31" spans="5:20" ht="75" x14ac:dyDescent="0.25">
      <c r="E31">
        <v>726835</v>
      </c>
      <c r="G31" s="1" t="s">
        <v>22</v>
      </c>
      <c r="I31" s="1" t="s">
        <v>82</v>
      </c>
      <c r="J31" s="3">
        <v>43772.688194444447</v>
      </c>
      <c r="K31" s="3">
        <v>43559.368750000001</v>
      </c>
      <c r="M31" s="1" t="s">
        <v>25</v>
      </c>
      <c r="O31" s="1" t="s">
        <v>18</v>
      </c>
      <c r="Q31" s="1" t="s">
        <v>19</v>
      </c>
      <c r="T31" t="s">
        <v>21</v>
      </c>
    </row>
    <row r="32" spans="5:20" ht="90" x14ac:dyDescent="0.25">
      <c r="E32">
        <v>714733</v>
      </c>
      <c r="G32" s="1" t="s">
        <v>14</v>
      </c>
      <c r="I32" s="1" t="s">
        <v>83</v>
      </c>
      <c r="J32" t="s">
        <v>84</v>
      </c>
      <c r="K32" s="3">
        <v>43528.847916666666</v>
      </c>
      <c r="M32" s="1" t="s">
        <v>25</v>
      </c>
      <c r="O32" s="1" t="s">
        <v>37</v>
      </c>
      <c r="Q32" s="1" t="s">
        <v>19</v>
      </c>
      <c r="T32" t="s">
        <v>21</v>
      </c>
    </row>
    <row r="33" spans="5:20" ht="90" x14ac:dyDescent="0.25">
      <c r="E33">
        <v>714830</v>
      </c>
      <c r="G33" s="1" t="s">
        <v>14</v>
      </c>
      <c r="I33" s="1" t="s">
        <v>85</v>
      </c>
      <c r="J33" t="s">
        <v>86</v>
      </c>
      <c r="K33" s="3">
        <v>43528.84097222222</v>
      </c>
      <c r="M33" s="1" t="s">
        <v>25</v>
      </c>
      <c r="O33" s="1" t="s">
        <v>18</v>
      </c>
      <c r="Q33" s="1" t="s">
        <v>19</v>
      </c>
      <c r="T33" t="s">
        <v>21</v>
      </c>
    </row>
    <row r="34" spans="5:20" ht="90" x14ac:dyDescent="0.25">
      <c r="E34">
        <v>709103</v>
      </c>
      <c r="G34" s="1" t="s">
        <v>14</v>
      </c>
      <c r="I34" s="1" t="s">
        <v>87</v>
      </c>
      <c r="J34" t="s">
        <v>88</v>
      </c>
      <c r="K34" s="3">
        <v>43528.777083333334</v>
      </c>
      <c r="M34" s="1" t="s">
        <v>25</v>
      </c>
      <c r="O34" s="1" t="s">
        <v>53</v>
      </c>
      <c r="Q34" s="1" t="s">
        <v>19</v>
      </c>
      <c r="T34" t="s">
        <v>21</v>
      </c>
    </row>
    <row r="35" spans="5:20" ht="90" x14ac:dyDescent="0.25">
      <c r="E35">
        <v>728964</v>
      </c>
      <c r="G35" s="1" t="s">
        <v>14</v>
      </c>
      <c r="I35" s="1" t="s">
        <v>89</v>
      </c>
      <c r="J35" t="s">
        <v>90</v>
      </c>
      <c r="K35" s="3">
        <v>43528.725694444445</v>
      </c>
      <c r="M35" s="1" t="s">
        <v>17</v>
      </c>
      <c r="O35" s="1" t="s">
        <v>18</v>
      </c>
      <c r="Q35" s="1" t="s">
        <v>19</v>
      </c>
      <c r="T35" t="s">
        <v>21</v>
      </c>
    </row>
    <row r="36" spans="5:20" ht="75" x14ac:dyDescent="0.25">
      <c r="E36">
        <v>626400</v>
      </c>
      <c r="G36" s="1" t="s">
        <v>14</v>
      </c>
      <c r="I36" s="1" t="s">
        <v>91</v>
      </c>
      <c r="J36" t="s">
        <v>92</v>
      </c>
      <c r="K36" s="3">
        <v>43528.679166666669</v>
      </c>
      <c r="M36" s="1" t="s">
        <v>25</v>
      </c>
      <c r="O36" s="1" t="s">
        <v>18</v>
      </c>
      <c r="Q36" s="1" t="s">
        <v>19</v>
      </c>
      <c r="T36" t="s">
        <v>21</v>
      </c>
    </row>
    <row r="37" spans="5:20" ht="90" x14ac:dyDescent="0.25">
      <c r="E37">
        <v>607246</v>
      </c>
      <c r="G37" s="1" t="s">
        <v>14</v>
      </c>
      <c r="I37" s="1" t="s">
        <v>93</v>
      </c>
      <c r="J37" t="s">
        <v>94</v>
      </c>
      <c r="K37" s="3">
        <v>43528.677083333336</v>
      </c>
      <c r="M37" s="1" t="s">
        <v>25</v>
      </c>
      <c r="O37" s="1" t="s">
        <v>18</v>
      </c>
      <c r="Q37" s="1" t="s">
        <v>19</v>
      </c>
      <c r="T37" t="s">
        <v>21</v>
      </c>
    </row>
    <row r="38" spans="5:20" ht="90" x14ac:dyDescent="0.25">
      <c r="E38">
        <v>719564</v>
      </c>
      <c r="G38" s="1" t="s">
        <v>14</v>
      </c>
      <c r="I38" s="1" t="s">
        <v>95</v>
      </c>
      <c r="J38" s="3">
        <v>43468.387499999997</v>
      </c>
      <c r="K38" s="3">
        <v>43528.662499999999</v>
      </c>
      <c r="M38" s="1" t="s">
        <v>17</v>
      </c>
      <c r="O38" s="1" t="s">
        <v>18</v>
      </c>
      <c r="Q38" s="1" t="s">
        <v>19</v>
      </c>
      <c r="T38" t="s">
        <v>21</v>
      </c>
    </row>
    <row r="39" spans="5:20" ht="90" x14ac:dyDescent="0.25">
      <c r="E39">
        <v>717514</v>
      </c>
      <c r="G39" s="1" t="s">
        <v>14</v>
      </c>
      <c r="I39" s="1" t="s">
        <v>96</v>
      </c>
      <c r="J39" t="s">
        <v>97</v>
      </c>
      <c r="K39" s="3">
        <v>43528.659722222219</v>
      </c>
      <c r="M39" s="1" t="s">
        <v>17</v>
      </c>
      <c r="O39" s="1" t="s">
        <v>18</v>
      </c>
      <c r="Q39" s="1" t="s">
        <v>19</v>
      </c>
      <c r="T39" t="s">
        <v>21</v>
      </c>
    </row>
    <row r="40" spans="5:20" ht="105" x14ac:dyDescent="0.25">
      <c r="E40">
        <v>731164</v>
      </c>
      <c r="G40" s="1" t="s">
        <v>14</v>
      </c>
      <c r="I40" s="1" t="s">
        <v>98</v>
      </c>
      <c r="J40" t="s">
        <v>99</v>
      </c>
      <c r="K40" s="3">
        <v>43528.65902777778</v>
      </c>
      <c r="M40" s="1" t="s">
        <v>27</v>
      </c>
      <c r="O40" s="1" t="s">
        <v>18</v>
      </c>
      <c r="Q40" s="1" t="s">
        <v>19</v>
      </c>
      <c r="T40" t="s">
        <v>21</v>
      </c>
    </row>
    <row r="41" spans="5:20" ht="90" x14ac:dyDescent="0.25">
      <c r="E41">
        <v>750065</v>
      </c>
      <c r="G41" s="1" t="s">
        <v>100</v>
      </c>
      <c r="I41" s="1" t="s">
        <v>101</v>
      </c>
      <c r="J41" s="3">
        <v>43500.657638888886</v>
      </c>
      <c r="K41" s="3">
        <v>43500.661111111112</v>
      </c>
      <c r="M41" s="1" t="s">
        <v>17</v>
      </c>
      <c r="O41" s="1" t="s">
        <v>18</v>
      </c>
      <c r="Q41" s="1" t="s">
        <v>19</v>
      </c>
      <c r="T41" t="s">
        <v>21</v>
      </c>
    </row>
    <row r="42" spans="5:20" ht="60" x14ac:dyDescent="0.25">
      <c r="E42">
        <v>746281</v>
      </c>
      <c r="G42" s="1" t="s">
        <v>100</v>
      </c>
      <c r="I42" s="1" t="s">
        <v>102</v>
      </c>
      <c r="J42" t="s">
        <v>103</v>
      </c>
      <c r="K42" t="s">
        <v>104</v>
      </c>
      <c r="M42" s="1" t="s">
        <v>105</v>
      </c>
      <c r="O42" s="1" t="s">
        <v>18</v>
      </c>
      <c r="Q42" s="1" t="s">
        <v>19</v>
      </c>
      <c r="T42" t="s">
        <v>21</v>
      </c>
    </row>
    <row r="43" spans="5:20" ht="90" x14ac:dyDescent="0.25">
      <c r="E43">
        <v>727872</v>
      </c>
      <c r="G43" s="1" t="s">
        <v>36</v>
      </c>
      <c r="I43" s="1" t="s">
        <v>106</v>
      </c>
      <c r="J43" s="3">
        <v>43802.481944444444</v>
      </c>
      <c r="K43" t="s">
        <v>107</v>
      </c>
      <c r="M43" s="1" t="s">
        <v>25</v>
      </c>
      <c r="O43" s="1" t="s">
        <v>53</v>
      </c>
      <c r="Q43" s="1" t="s">
        <v>19</v>
      </c>
      <c r="T43" t="s">
        <v>21</v>
      </c>
    </row>
    <row r="44" spans="5:20" ht="90" x14ac:dyDescent="0.25">
      <c r="E44">
        <v>727787</v>
      </c>
      <c r="G44" s="1" t="s">
        <v>36</v>
      </c>
      <c r="I44" s="1" t="s">
        <v>108</v>
      </c>
      <c r="J44" s="3">
        <v>43802.456250000003</v>
      </c>
      <c r="K44" t="s">
        <v>109</v>
      </c>
      <c r="M44" s="1" t="s">
        <v>25</v>
      </c>
      <c r="O44" s="1" t="s">
        <v>53</v>
      </c>
      <c r="Q44" s="1" t="s">
        <v>19</v>
      </c>
      <c r="T44" t="s">
        <v>21</v>
      </c>
    </row>
    <row r="45" spans="5:20" ht="90" x14ac:dyDescent="0.25">
      <c r="E45">
        <v>719764</v>
      </c>
      <c r="G45" s="1" t="s">
        <v>36</v>
      </c>
      <c r="I45" s="1" t="s">
        <v>110</v>
      </c>
      <c r="J45" s="3">
        <v>43468.469444444447</v>
      </c>
      <c r="K45" t="s">
        <v>111</v>
      </c>
      <c r="M45" s="1" t="s">
        <v>25</v>
      </c>
      <c r="O45" s="1" t="s">
        <v>53</v>
      </c>
      <c r="Q45" s="1" t="s">
        <v>19</v>
      </c>
      <c r="T45" t="s">
        <v>21</v>
      </c>
    </row>
    <row r="46" spans="5:20" ht="75" x14ac:dyDescent="0.25">
      <c r="E46">
        <v>624085</v>
      </c>
      <c r="G46" s="1" t="s">
        <v>14</v>
      </c>
      <c r="I46" s="1" t="s">
        <v>112</v>
      </c>
      <c r="J46" t="s">
        <v>113</v>
      </c>
      <c r="K46" s="3">
        <v>43801.706250000003</v>
      </c>
      <c r="M46" s="1" t="s">
        <v>25</v>
      </c>
      <c r="O46" s="1" t="s">
        <v>18</v>
      </c>
      <c r="Q46" s="1" t="s">
        <v>19</v>
      </c>
      <c r="T46" t="s">
        <v>21</v>
      </c>
    </row>
    <row r="47" spans="5:20" ht="75" x14ac:dyDescent="0.25">
      <c r="E47">
        <v>620111</v>
      </c>
      <c r="G47" s="1" t="s">
        <v>14</v>
      </c>
      <c r="I47" s="1" t="s">
        <v>114</v>
      </c>
      <c r="J47" t="s">
        <v>115</v>
      </c>
      <c r="K47" s="3">
        <v>43801.70416666667</v>
      </c>
      <c r="M47" s="1" t="s">
        <v>25</v>
      </c>
      <c r="O47" s="1" t="s">
        <v>18</v>
      </c>
      <c r="Q47" s="1" t="s">
        <v>19</v>
      </c>
      <c r="T47" t="s">
        <v>21</v>
      </c>
    </row>
    <row r="48" spans="5:20" ht="90" x14ac:dyDescent="0.25">
      <c r="E48">
        <v>640768</v>
      </c>
      <c r="G48" s="1" t="s">
        <v>100</v>
      </c>
      <c r="I48" s="1" t="s">
        <v>116</v>
      </c>
      <c r="J48" t="s">
        <v>117</v>
      </c>
      <c r="K48" t="s">
        <v>118</v>
      </c>
      <c r="M48" s="1" t="s">
        <v>25</v>
      </c>
      <c r="O48" s="1" t="s">
        <v>18</v>
      </c>
      <c r="Q48" s="1" t="s">
        <v>19</v>
      </c>
      <c r="T48" t="s">
        <v>21</v>
      </c>
    </row>
    <row r="49" spans="5:20" ht="75" x14ac:dyDescent="0.25">
      <c r="E49">
        <v>619844</v>
      </c>
      <c r="G49" s="1" t="s">
        <v>100</v>
      </c>
      <c r="I49" s="1" t="s">
        <v>119</v>
      </c>
      <c r="J49" t="s">
        <v>120</v>
      </c>
      <c r="K49" t="s">
        <v>120</v>
      </c>
      <c r="M49" s="1" t="s">
        <v>25</v>
      </c>
      <c r="O49" s="1" t="s">
        <v>18</v>
      </c>
      <c r="Q49" s="1" t="s">
        <v>19</v>
      </c>
      <c r="T49" t="s">
        <v>21</v>
      </c>
    </row>
    <row r="203" spans="12:12" x14ac:dyDescent="0.25">
      <c r="L203" t="str">
        <f ca="1">IF(TODAY()&gt;E203,"VENCIDA","OK")</f>
        <v>VENCIDA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Q35"/>
  <sheetViews>
    <sheetView tabSelected="1" workbookViewId="0">
      <selection activeCell="A2" sqref="A2"/>
    </sheetView>
  </sheetViews>
  <sheetFormatPr defaultRowHeight="16.5" customHeight="1" x14ac:dyDescent="0.25"/>
  <cols>
    <col min="1" max="1" width="21" customWidth="1"/>
  </cols>
  <sheetData>
    <row r="1" spans="1:17" ht="16.5" customHeight="1" x14ac:dyDescent="0.25">
      <c r="A1" t="str">
        <f>"Total de: "&amp;COUNTA(B:B)-1&amp;" chamados."</f>
        <v>Total de: 34 chamados.</v>
      </c>
      <c r="B1" t="s">
        <v>160</v>
      </c>
      <c r="D1" t="s">
        <v>121</v>
      </c>
      <c r="F1" t="s">
        <v>122</v>
      </c>
      <c r="G1" t="s">
        <v>123</v>
      </c>
      <c r="H1" t="s">
        <v>124</v>
      </c>
      <c r="J1" t="s">
        <v>125</v>
      </c>
      <c r="L1" t="s">
        <v>126</v>
      </c>
      <c r="N1" t="s">
        <v>127</v>
      </c>
      <c r="O1" t="s">
        <v>128</v>
      </c>
      <c r="P1" t="s">
        <v>129</v>
      </c>
      <c r="Q1" t="s">
        <v>130</v>
      </c>
    </row>
    <row r="2" spans="1:17" ht="16.5" customHeight="1" x14ac:dyDescent="0.25">
      <c r="A2" s="1" t="s">
        <v>161</v>
      </c>
      <c r="B2">
        <v>786959</v>
      </c>
      <c r="D2" s="1" t="s">
        <v>14</v>
      </c>
      <c r="F2" s="1" t="s">
        <v>234</v>
      </c>
      <c r="G2" s="3">
        <v>43682.622916666667</v>
      </c>
      <c r="H2" t="s">
        <v>235</v>
      </c>
      <c r="J2" s="1" t="s">
        <v>34</v>
      </c>
      <c r="L2" s="1" t="s">
        <v>236</v>
      </c>
      <c r="N2" s="1" t="s">
        <v>19</v>
      </c>
      <c r="Q2" t="s">
        <v>21</v>
      </c>
    </row>
    <row r="3" spans="1:17" ht="16.5" customHeight="1" x14ac:dyDescent="0.25">
      <c r="B3">
        <v>795635</v>
      </c>
      <c r="D3" s="1" t="s">
        <v>166</v>
      </c>
      <c r="F3" s="1" t="s">
        <v>167</v>
      </c>
      <c r="G3" t="s">
        <v>168</v>
      </c>
      <c r="H3" t="s">
        <v>169</v>
      </c>
      <c r="J3" s="1" t="s">
        <v>34</v>
      </c>
      <c r="L3" s="1" t="s">
        <v>33</v>
      </c>
      <c r="N3" s="1" t="s">
        <v>19</v>
      </c>
      <c r="Q3" t="s">
        <v>21</v>
      </c>
    </row>
    <row r="4" spans="1:17" ht="16.5" customHeight="1" x14ac:dyDescent="0.25">
      <c r="B4">
        <v>789666</v>
      </c>
      <c r="D4" s="1" t="s">
        <v>166</v>
      </c>
      <c r="F4" s="1" t="s">
        <v>170</v>
      </c>
      <c r="G4" s="3">
        <v>43743.67291666667</v>
      </c>
      <c r="H4" t="s">
        <v>171</v>
      </c>
      <c r="J4" s="1" t="s">
        <v>34</v>
      </c>
      <c r="L4" s="1" t="s">
        <v>33</v>
      </c>
      <c r="N4" s="1" t="s">
        <v>19</v>
      </c>
      <c r="Q4" t="s">
        <v>21</v>
      </c>
    </row>
    <row r="5" spans="1:17" ht="16.5" customHeight="1" x14ac:dyDescent="0.25">
      <c r="B5">
        <v>774669</v>
      </c>
      <c r="D5" s="1" t="s">
        <v>31</v>
      </c>
      <c r="F5" s="1" t="s">
        <v>172</v>
      </c>
      <c r="G5" t="s">
        <v>173</v>
      </c>
      <c r="H5" t="s">
        <v>174</v>
      </c>
      <c r="J5" s="1" t="s">
        <v>34</v>
      </c>
      <c r="L5" s="1" t="s">
        <v>33</v>
      </c>
      <c r="N5" s="1" t="s">
        <v>19</v>
      </c>
      <c r="Q5" t="s">
        <v>21</v>
      </c>
    </row>
    <row r="6" spans="1:17" ht="16.5" customHeight="1" x14ac:dyDescent="0.25">
      <c r="B6">
        <v>799400</v>
      </c>
      <c r="D6" s="1" t="s">
        <v>31</v>
      </c>
      <c r="F6" s="1" t="s">
        <v>175</v>
      </c>
      <c r="G6" t="s">
        <v>176</v>
      </c>
      <c r="H6" t="s">
        <v>177</v>
      </c>
      <c r="J6" s="1" t="s">
        <v>34</v>
      </c>
      <c r="L6" s="1" t="s">
        <v>33</v>
      </c>
      <c r="N6" s="1" t="s">
        <v>19</v>
      </c>
      <c r="Q6" t="s">
        <v>21</v>
      </c>
    </row>
    <row r="7" spans="1:17" ht="16.5" customHeight="1" x14ac:dyDescent="0.25">
      <c r="B7">
        <v>799384</v>
      </c>
      <c r="D7" s="1" t="s">
        <v>31</v>
      </c>
      <c r="F7" s="1" t="s">
        <v>178</v>
      </c>
      <c r="G7" t="s">
        <v>179</v>
      </c>
      <c r="H7" t="s">
        <v>180</v>
      </c>
      <c r="J7" s="1" t="s">
        <v>34</v>
      </c>
      <c r="L7" s="1" t="s">
        <v>33</v>
      </c>
      <c r="N7" s="1" t="s">
        <v>19</v>
      </c>
      <c r="Q7" t="s">
        <v>21</v>
      </c>
    </row>
    <row r="8" spans="1:17" ht="16.5" customHeight="1" x14ac:dyDescent="0.25">
      <c r="B8">
        <v>798818</v>
      </c>
      <c r="D8" s="1" t="s">
        <v>31</v>
      </c>
      <c r="F8" s="1" t="s">
        <v>181</v>
      </c>
      <c r="G8" t="s">
        <v>182</v>
      </c>
      <c r="H8" t="s">
        <v>183</v>
      </c>
      <c r="J8" s="1" t="s">
        <v>34</v>
      </c>
      <c r="L8" s="1" t="s">
        <v>33</v>
      </c>
      <c r="N8" s="1" t="s">
        <v>19</v>
      </c>
      <c r="Q8" t="s">
        <v>21</v>
      </c>
    </row>
    <row r="9" spans="1:17" ht="16.5" customHeight="1" x14ac:dyDescent="0.25">
      <c r="B9">
        <v>798786</v>
      </c>
      <c r="D9" s="1" t="s">
        <v>31</v>
      </c>
      <c r="F9" s="1" t="s">
        <v>184</v>
      </c>
      <c r="G9" t="s">
        <v>185</v>
      </c>
      <c r="H9" t="s">
        <v>186</v>
      </c>
      <c r="J9" s="1" t="s">
        <v>34</v>
      </c>
      <c r="L9" s="1" t="s">
        <v>33</v>
      </c>
      <c r="N9" s="1" t="s">
        <v>19</v>
      </c>
      <c r="Q9" t="s">
        <v>21</v>
      </c>
    </row>
    <row r="10" spans="1:17" ht="16.5" customHeight="1" x14ac:dyDescent="0.25">
      <c r="B10">
        <v>798778</v>
      </c>
      <c r="D10" s="1" t="s">
        <v>31</v>
      </c>
      <c r="F10" s="1" t="s">
        <v>187</v>
      </c>
      <c r="G10" t="s">
        <v>188</v>
      </c>
      <c r="H10" t="s">
        <v>189</v>
      </c>
      <c r="J10" s="1" t="s">
        <v>34</v>
      </c>
      <c r="L10" s="1" t="s">
        <v>33</v>
      </c>
      <c r="N10" s="1" t="s">
        <v>19</v>
      </c>
      <c r="Q10" t="s">
        <v>21</v>
      </c>
    </row>
    <row r="11" spans="1:17" ht="16.5" customHeight="1" x14ac:dyDescent="0.25">
      <c r="B11">
        <v>798770</v>
      </c>
      <c r="D11" s="1" t="s">
        <v>31</v>
      </c>
      <c r="F11" s="1" t="s">
        <v>190</v>
      </c>
      <c r="G11" t="s">
        <v>191</v>
      </c>
      <c r="H11" t="s">
        <v>192</v>
      </c>
      <c r="J11" s="1" t="s">
        <v>34</v>
      </c>
      <c r="L11" s="1" t="s">
        <v>33</v>
      </c>
      <c r="N11" s="1" t="s">
        <v>19</v>
      </c>
      <c r="Q11" t="s">
        <v>21</v>
      </c>
    </row>
    <row r="12" spans="1:17" ht="16.5" customHeight="1" x14ac:dyDescent="0.25">
      <c r="B12">
        <v>798753</v>
      </c>
      <c r="D12" s="1" t="s">
        <v>31</v>
      </c>
      <c r="F12" s="1" t="s">
        <v>193</v>
      </c>
      <c r="G12" t="s">
        <v>194</v>
      </c>
      <c r="H12" t="s">
        <v>194</v>
      </c>
      <c r="J12" s="1" t="s">
        <v>34</v>
      </c>
      <c r="L12" s="1" t="s">
        <v>33</v>
      </c>
      <c r="N12" s="1" t="s">
        <v>19</v>
      </c>
      <c r="Q12" t="s">
        <v>21</v>
      </c>
    </row>
    <row r="13" spans="1:17" ht="16.5" customHeight="1" x14ac:dyDescent="0.25">
      <c r="B13">
        <v>795552</v>
      </c>
      <c r="D13" s="1" t="s">
        <v>31</v>
      </c>
      <c r="F13" s="1" t="s">
        <v>195</v>
      </c>
      <c r="G13" t="s">
        <v>196</v>
      </c>
      <c r="H13" t="s">
        <v>197</v>
      </c>
      <c r="J13" s="1" t="s">
        <v>34</v>
      </c>
      <c r="L13" s="1" t="s">
        <v>33</v>
      </c>
      <c r="N13" s="1" t="s">
        <v>19</v>
      </c>
      <c r="Q13" t="s">
        <v>21</v>
      </c>
    </row>
    <row r="14" spans="1:17" ht="16.5" customHeight="1" x14ac:dyDescent="0.25">
      <c r="B14">
        <v>796025</v>
      </c>
      <c r="D14" s="1" t="s">
        <v>31</v>
      </c>
      <c r="F14" s="1" t="s">
        <v>198</v>
      </c>
      <c r="G14" t="s">
        <v>199</v>
      </c>
      <c r="H14" t="s">
        <v>200</v>
      </c>
      <c r="J14" s="1" t="s">
        <v>34</v>
      </c>
      <c r="L14" s="1" t="s">
        <v>33</v>
      </c>
      <c r="N14" s="1" t="s">
        <v>19</v>
      </c>
      <c r="Q14" t="s">
        <v>21</v>
      </c>
    </row>
    <row r="15" spans="1:17" ht="16.5" customHeight="1" x14ac:dyDescent="0.25">
      <c r="B15">
        <v>795673</v>
      </c>
      <c r="D15" s="1" t="s">
        <v>31</v>
      </c>
      <c r="F15" s="1" t="s">
        <v>201</v>
      </c>
      <c r="G15" t="s">
        <v>202</v>
      </c>
      <c r="H15" t="s">
        <v>203</v>
      </c>
      <c r="J15" s="1" t="s">
        <v>34</v>
      </c>
      <c r="L15" s="1" t="s">
        <v>33</v>
      </c>
      <c r="N15" s="1" t="s">
        <v>19</v>
      </c>
      <c r="Q15" t="s">
        <v>21</v>
      </c>
    </row>
    <row r="16" spans="1:17" ht="16.5" customHeight="1" x14ac:dyDescent="0.25">
      <c r="B16">
        <v>795616</v>
      </c>
      <c r="D16" s="1" t="s">
        <v>31</v>
      </c>
      <c r="F16" s="1" t="s">
        <v>204</v>
      </c>
      <c r="G16" t="s">
        <v>205</v>
      </c>
      <c r="H16" t="s">
        <v>206</v>
      </c>
      <c r="J16" s="1" t="s">
        <v>34</v>
      </c>
      <c r="L16" s="1" t="s">
        <v>33</v>
      </c>
      <c r="N16" s="1" t="s">
        <v>19</v>
      </c>
      <c r="Q16" t="s">
        <v>21</v>
      </c>
    </row>
    <row r="17" spans="2:17" ht="16.5" customHeight="1" x14ac:dyDescent="0.25">
      <c r="B17">
        <v>795566</v>
      </c>
      <c r="D17" s="1" t="s">
        <v>31</v>
      </c>
      <c r="F17" s="1" t="s">
        <v>207</v>
      </c>
      <c r="G17" t="s">
        <v>208</v>
      </c>
      <c r="H17" t="s">
        <v>208</v>
      </c>
      <c r="J17" s="1" t="s">
        <v>34</v>
      </c>
      <c r="L17" s="1" t="s">
        <v>33</v>
      </c>
      <c r="N17" s="1" t="s">
        <v>19</v>
      </c>
      <c r="Q17" t="s">
        <v>21</v>
      </c>
    </row>
    <row r="18" spans="2:17" ht="16.5" customHeight="1" x14ac:dyDescent="0.25">
      <c r="B18">
        <v>795437</v>
      </c>
      <c r="D18" s="1" t="s">
        <v>31</v>
      </c>
      <c r="F18" s="1" t="s">
        <v>209</v>
      </c>
      <c r="G18" t="s">
        <v>210</v>
      </c>
      <c r="H18" t="s">
        <v>211</v>
      </c>
      <c r="J18" s="1" t="s">
        <v>34</v>
      </c>
      <c r="L18" s="1" t="s">
        <v>33</v>
      </c>
      <c r="N18" s="1" t="s">
        <v>19</v>
      </c>
      <c r="Q18" t="s">
        <v>21</v>
      </c>
    </row>
    <row r="19" spans="2:17" ht="16.5" customHeight="1" x14ac:dyDescent="0.25">
      <c r="B19">
        <v>794659</v>
      </c>
      <c r="D19" s="1" t="s">
        <v>31</v>
      </c>
      <c r="F19" s="1" t="s">
        <v>212</v>
      </c>
      <c r="G19" t="s">
        <v>213</v>
      </c>
      <c r="H19" t="s">
        <v>214</v>
      </c>
      <c r="J19" s="1" t="s">
        <v>34</v>
      </c>
      <c r="L19" s="1" t="s">
        <v>33</v>
      </c>
      <c r="N19" s="1" t="s">
        <v>19</v>
      </c>
      <c r="Q19" t="s">
        <v>21</v>
      </c>
    </row>
    <row r="20" spans="2:17" ht="16.5" customHeight="1" x14ac:dyDescent="0.25">
      <c r="B20">
        <v>794634</v>
      </c>
      <c r="D20" s="1" t="s">
        <v>31</v>
      </c>
      <c r="F20" s="1" t="s">
        <v>215</v>
      </c>
      <c r="G20" t="s">
        <v>216</v>
      </c>
      <c r="H20" t="s">
        <v>217</v>
      </c>
      <c r="J20" s="1" t="s">
        <v>34</v>
      </c>
      <c r="L20" s="1" t="s">
        <v>33</v>
      </c>
      <c r="N20" s="1" t="s">
        <v>19</v>
      </c>
      <c r="Q20" t="s">
        <v>21</v>
      </c>
    </row>
    <row r="21" spans="2:17" ht="16.5" customHeight="1" x14ac:dyDescent="0.25">
      <c r="B21">
        <v>792953</v>
      </c>
      <c r="D21" s="1" t="s">
        <v>31</v>
      </c>
      <c r="F21" s="1" t="s">
        <v>218</v>
      </c>
      <c r="G21" t="s">
        <v>219</v>
      </c>
      <c r="H21" t="s">
        <v>220</v>
      </c>
      <c r="J21" s="1" t="s">
        <v>34</v>
      </c>
      <c r="L21" s="1" t="s">
        <v>33</v>
      </c>
      <c r="N21" s="1" t="s">
        <v>19</v>
      </c>
      <c r="Q21" t="s">
        <v>21</v>
      </c>
    </row>
    <row r="22" spans="2:17" ht="16.5" customHeight="1" x14ac:dyDescent="0.25">
      <c r="B22">
        <v>792494</v>
      </c>
      <c r="D22" s="1" t="s">
        <v>31</v>
      </c>
      <c r="F22" s="1" t="s">
        <v>221</v>
      </c>
      <c r="G22" t="s">
        <v>222</v>
      </c>
      <c r="H22" t="s">
        <v>223</v>
      </c>
      <c r="J22" s="1" t="s">
        <v>34</v>
      </c>
      <c r="L22" s="1" t="s">
        <v>33</v>
      </c>
      <c r="N22" s="1" t="s">
        <v>19</v>
      </c>
      <c r="Q22" t="s">
        <v>21</v>
      </c>
    </row>
    <row r="23" spans="2:17" ht="16.5" customHeight="1" x14ac:dyDescent="0.25">
      <c r="B23">
        <v>790615</v>
      </c>
      <c r="D23" s="1" t="s">
        <v>31</v>
      </c>
      <c r="F23" s="1" t="s">
        <v>224</v>
      </c>
      <c r="G23" t="s">
        <v>225</v>
      </c>
      <c r="H23" t="s">
        <v>226</v>
      </c>
      <c r="J23" s="1" t="s">
        <v>34</v>
      </c>
      <c r="L23" s="1" t="s">
        <v>33</v>
      </c>
      <c r="N23" s="1" t="s">
        <v>19</v>
      </c>
      <c r="Q23" t="s">
        <v>21</v>
      </c>
    </row>
    <row r="24" spans="2:17" ht="16.5" customHeight="1" x14ac:dyDescent="0.25">
      <c r="B24">
        <v>789296</v>
      </c>
      <c r="D24" s="1" t="s">
        <v>31</v>
      </c>
      <c r="F24" s="1" t="s">
        <v>227</v>
      </c>
      <c r="G24" s="3">
        <v>43743.513194444444</v>
      </c>
      <c r="H24" s="3">
        <v>43743.684027777781</v>
      </c>
      <c r="J24" s="1" t="s">
        <v>34</v>
      </c>
      <c r="L24" s="1" t="s">
        <v>33</v>
      </c>
      <c r="N24" s="1" t="s">
        <v>19</v>
      </c>
      <c r="Q24" t="s">
        <v>21</v>
      </c>
    </row>
    <row r="25" spans="2:17" ht="16.5" customHeight="1" x14ac:dyDescent="0.25">
      <c r="B25">
        <v>789291</v>
      </c>
      <c r="D25" s="1" t="s">
        <v>31</v>
      </c>
      <c r="F25" s="1" t="s">
        <v>228</v>
      </c>
      <c r="G25" s="3">
        <v>43743.510416666664</v>
      </c>
      <c r="H25" s="3">
        <v>43743.511111111111</v>
      </c>
      <c r="J25" s="1" t="s">
        <v>34</v>
      </c>
      <c r="L25" s="1" t="s">
        <v>33</v>
      </c>
      <c r="N25" s="1" t="s">
        <v>19</v>
      </c>
      <c r="Q25" t="s">
        <v>21</v>
      </c>
    </row>
    <row r="26" spans="2:17" ht="16.5" customHeight="1" x14ac:dyDescent="0.25">
      <c r="B26">
        <v>789286</v>
      </c>
      <c r="D26" s="1" t="s">
        <v>31</v>
      </c>
      <c r="F26" s="1" t="s">
        <v>229</v>
      </c>
      <c r="G26" s="3">
        <v>43743.506249999999</v>
      </c>
      <c r="H26" s="3">
        <v>43743.506944444445</v>
      </c>
      <c r="J26" s="1" t="s">
        <v>34</v>
      </c>
      <c r="L26" s="1" t="s">
        <v>33</v>
      </c>
      <c r="N26" s="1" t="s">
        <v>19</v>
      </c>
      <c r="Q26" t="s">
        <v>21</v>
      </c>
    </row>
    <row r="27" spans="2:17" ht="16.5" customHeight="1" x14ac:dyDescent="0.25">
      <c r="B27">
        <v>786450</v>
      </c>
      <c r="D27" s="1" t="s">
        <v>31</v>
      </c>
      <c r="F27" s="1" t="s">
        <v>230</v>
      </c>
      <c r="G27" s="3">
        <v>43682.425000000003</v>
      </c>
      <c r="H27" s="3">
        <v>43682.425694444442</v>
      </c>
      <c r="J27" s="1" t="s">
        <v>34</v>
      </c>
      <c r="L27" s="1" t="s">
        <v>33</v>
      </c>
      <c r="N27" s="1" t="s">
        <v>19</v>
      </c>
      <c r="Q27" t="s">
        <v>21</v>
      </c>
    </row>
    <row r="28" spans="2:17" ht="16.5" customHeight="1" x14ac:dyDescent="0.25">
      <c r="B28">
        <v>784131</v>
      </c>
      <c r="D28" s="1" t="s">
        <v>31</v>
      </c>
      <c r="F28" s="1" t="s">
        <v>231</v>
      </c>
      <c r="G28" s="3">
        <v>43621.640972222223</v>
      </c>
      <c r="H28" s="3">
        <v>43621.642361111109</v>
      </c>
      <c r="J28" s="1" t="s">
        <v>34</v>
      </c>
      <c r="L28" s="1" t="s">
        <v>33</v>
      </c>
      <c r="N28" s="1" t="s">
        <v>19</v>
      </c>
      <c r="Q28" t="s">
        <v>21</v>
      </c>
    </row>
    <row r="29" spans="2:17" ht="16.5" customHeight="1" x14ac:dyDescent="0.25">
      <c r="B29">
        <v>782300</v>
      </c>
      <c r="D29" s="1" t="s">
        <v>31</v>
      </c>
      <c r="F29" s="1" t="s">
        <v>232</v>
      </c>
      <c r="G29" s="3">
        <v>43529.673611111109</v>
      </c>
      <c r="H29" s="3">
        <v>43529.674305555556</v>
      </c>
      <c r="J29" s="1" t="s">
        <v>34</v>
      </c>
      <c r="L29" s="1" t="s">
        <v>33</v>
      </c>
      <c r="N29" s="1" t="s">
        <v>19</v>
      </c>
      <c r="Q29" t="s">
        <v>21</v>
      </c>
    </row>
    <row r="30" spans="2:17" ht="16.5" customHeight="1" x14ac:dyDescent="0.25">
      <c r="B30">
        <v>769576</v>
      </c>
      <c r="D30" s="1" t="s">
        <v>31</v>
      </c>
      <c r="F30" s="1" t="s">
        <v>162</v>
      </c>
      <c r="G30" t="s">
        <v>163</v>
      </c>
      <c r="H30" t="s">
        <v>163</v>
      </c>
      <c r="J30" s="1" t="s">
        <v>32</v>
      </c>
      <c r="L30" s="1" t="s">
        <v>33</v>
      </c>
      <c r="N30" s="1" t="s">
        <v>19</v>
      </c>
      <c r="Q30" t="s">
        <v>21</v>
      </c>
    </row>
    <row r="31" spans="2:17" ht="16.5" customHeight="1" x14ac:dyDescent="0.25">
      <c r="B31">
        <v>760449</v>
      </c>
      <c r="D31" s="1" t="s">
        <v>31</v>
      </c>
      <c r="F31" s="1" t="s">
        <v>164</v>
      </c>
      <c r="G31" s="3">
        <v>43773.59375</v>
      </c>
      <c r="H31" s="3">
        <v>43773.594444444447</v>
      </c>
      <c r="J31" s="1" t="s">
        <v>34</v>
      </c>
      <c r="L31" s="1" t="s">
        <v>33</v>
      </c>
      <c r="N31" s="1" t="s">
        <v>19</v>
      </c>
      <c r="Q31" t="s">
        <v>21</v>
      </c>
    </row>
    <row r="32" spans="2:17" ht="16.5" customHeight="1" x14ac:dyDescent="0.25">
      <c r="B32" t="s">
        <v>233</v>
      </c>
      <c r="D32" t="s">
        <v>137</v>
      </c>
      <c r="F32" t="s">
        <v>138</v>
      </c>
      <c r="H32" t="s">
        <v>139</v>
      </c>
      <c r="I32" t="s">
        <v>140</v>
      </c>
      <c r="J32" t="s">
        <v>141</v>
      </c>
      <c r="K32" t="s">
        <v>131</v>
      </c>
      <c r="L32" t="s">
        <v>131</v>
      </c>
      <c r="N32" t="s">
        <v>142</v>
      </c>
      <c r="O32" t="s">
        <v>143</v>
      </c>
      <c r="P32" t="s">
        <v>132</v>
      </c>
    </row>
    <row r="33" spans="2:17" ht="16.5" customHeight="1" x14ac:dyDescent="0.25">
      <c r="B33" t="s">
        <v>237</v>
      </c>
      <c r="C33" t="s">
        <v>144</v>
      </c>
      <c r="D33" s="1" t="s">
        <v>145</v>
      </c>
      <c r="E33" t="s">
        <v>146</v>
      </c>
      <c r="F33" t="s">
        <v>147</v>
      </c>
      <c r="G33" t="s">
        <v>148</v>
      </c>
      <c r="H33" t="s">
        <v>147</v>
      </c>
      <c r="I33" t="s">
        <v>133</v>
      </c>
      <c r="K33" t="s">
        <v>133</v>
      </c>
      <c r="M33" t="s">
        <v>149</v>
      </c>
      <c r="O33" t="s">
        <v>150</v>
      </c>
      <c r="P33" t="s">
        <v>151</v>
      </c>
      <c r="Q33" t="s">
        <v>165</v>
      </c>
    </row>
    <row r="34" spans="2:17" ht="16.5" customHeight="1" x14ac:dyDescent="0.25">
      <c r="B34" t="s">
        <v>134</v>
      </c>
      <c r="D34" t="s">
        <v>134</v>
      </c>
      <c r="F34" t="s">
        <v>152</v>
      </c>
      <c r="G34" t="s">
        <v>135</v>
      </c>
      <c r="H34" t="s">
        <v>153</v>
      </c>
      <c r="I34" t="s">
        <v>154</v>
      </c>
      <c r="J34" t="s">
        <v>155</v>
      </c>
      <c r="L34" t="s">
        <v>156</v>
      </c>
      <c r="N34" t="s">
        <v>157</v>
      </c>
      <c r="O34" t="s">
        <v>136</v>
      </c>
      <c r="Q34" t="s">
        <v>136</v>
      </c>
    </row>
    <row r="35" spans="2:17" ht="16.5" customHeight="1" x14ac:dyDescent="0.25">
      <c r="B35" t="s">
        <v>238</v>
      </c>
      <c r="J35" t="s">
        <v>158</v>
      </c>
      <c r="K35" s="1" t="s">
        <v>159</v>
      </c>
    </row>
  </sheetData>
  <autoFilter ref="A1:A42"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P1"/>
  <sheetViews>
    <sheetView workbookViewId="0">
      <selection sqref="A1:P1"/>
    </sheetView>
  </sheetViews>
  <sheetFormatPr defaultRowHeight="15" x14ac:dyDescent="0.25"/>
  <sheetData>
    <row r="1" spans="1:16" x14ac:dyDescent="0.25">
      <c r="A1" t="s">
        <v>160</v>
      </c>
      <c r="C1" t="s">
        <v>121</v>
      </c>
      <c r="E1" t="s">
        <v>122</v>
      </c>
      <c r="F1" t="s">
        <v>123</v>
      </c>
      <c r="G1" t="s">
        <v>124</v>
      </c>
      <c r="I1" t="s">
        <v>125</v>
      </c>
      <c r="K1" t="s">
        <v>126</v>
      </c>
      <c r="M1" t="s">
        <v>127</v>
      </c>
      <c r="N1" t="s">
        <v>128</v>
      </c>
      <c r="O1" t="s">
        <v>129</v>
      </c>
      <c r="P1" t="s">
        <v>130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AW107"/>
  <sheetViews>
    <sheetView workbookViewId="0">
      <selection activeCell="D8" sqref="D8"/>
    </sheetView>
  </sheetViews>
  <sheetFormatPr defaultRowHeight="15" x14ac:dyDescent="0.25"/>
  <sheetData>
    <row r="1" spans="1:49" x14ac:dyDescent="0.25">
      <c r="A1" t="s">
        <v>4</v>
      </c>
      <c r="B1" t="s">
        <v>8</v>
      </c>
      <c r="AV1">
        <v>174542</v>
      </c>
      <c r="AW1">
        <v>180619</v>
      </c>
    </row>
    <row r="2" spans="1:49" x14ac:dyDescent="0.25">
      <c r="A2" t="s">
        <v>5</v>
      </c>
      <c r="B2">
        <v>833920</v>
      </c>
      <c r="AV2" t="s">
        <v>2</v>
      </c>
      <c r="AW2" t="s">
        <v>6</v>
      </c>
    </row>
    <row r="3" spans="1:49" x14ac:dyDescent="0.25">
      <c r="AV3" t="s">
        <v>3</v>
      </c>
      <c r="AW3">
        <v>595779</v>
      </c>
    </row>
    <row r="96" spans="2:2" x14ac:dyDescent="0.25">
      <c r="B96" t="s">
        <v>1</v>
      </c>
    </row>
    <row r="97" spans="2:2" x14ac:dyDescent="0.25">
      <c r="B97" t="s">
        <v>7</v>
      </c>
    </row>
    <row r="98" spans="2:2" x14ac:dyDescent="0.25">
      <c r="B98" t="s">
        <v>7</v>
      </c>
    </row>
    <row r="99" spans="2:2" x14ac:dyDescent="0.25">
      <c r="B99" t="s">
        <v>7</v>
      </c>
    </row>
    <row r="100" spans="2:2" x14ac:dyDescent="0.25">
      <c r="B100" t="s">
        <v>7</v>
      </c>
    </row>
    <row r="101" spans="2:2" x14ac:dyDescent="0.25">
      <c r="B101" t="s">
        <v>7</v>
      </c>
    </row>
    <row r="102" spans="2:2" x14ac:dyDescent="0.25">
      <c r="B102" t="s">
        <v>7</v>
      </c>
    </row>
    <row r="103" spans="2:2" x14ac:dyDescent="0.25">
      <c r="B103" t="s">
        <v>7</v>
      </c>
    </row>
    <row r="104" spans="2:2" x14ac:dyDescent="0.25">
      <c r="B104" t="s">
        <v>7</v>
      </c>
    </row>
    <row r="105" spans="2:2" x14ac:dyDescent="0.25">
      <c r="B105" t="s">
        <v>7</v>
      </c>
    </row>
    <row r="106" spans="2:2" x14ac:dyDescent="0.25">
      <c r="B106" t="s">
        <v>7</v>
      </c>
    </row>
    <row r="107" spans="2:2" x14ac:dyDescent="0.25">
      <c r="B107" t="s">
        <v>7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base1</vt:lpstr>
      <vt:lpstr>base</vt:lpstr>
      <vt:lpstr>Plan1</vt:lpstr>
      <vt:lpstr>acesso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2019-05-22T12:59:46Z</dcterms:modified>
</cp:coreProperties>
</file>